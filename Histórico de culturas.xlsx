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6a1cc81c05594695/Dashboards/"/>
    </mc:Choice>
  </mc:AlternateContent>
  <xr:revisionPtr revIDLastSave="106" documentId="8_{B663FA9D-63D9-4817-B51A-83BC726D2529}" xr6:coauthVersionLast="47" xr6:coauthVersionMax="47" xr10:uidLastSave="{7B4D53B3-BE99-4CEF-9B6C-6B954271BB9E}"/>
  <bookViews>
    <workbookView xWindow="-120" yWindow="-120" windowWidth="29040" windowHeight="15720" xr2:uid="{EC402824-E070-4638-AB0F-B9DF5E3FF754}"/>
  </bookViews>
  <sheets>
    <sheet name="Dashboard HC" sheetId="1" r:id="rId1"/>
  </sheets>
  <definedNames>
    <definedName name="_xlnm._FilterDatabase" localSheetId="0" hidden="1">'Dashboard HC'!$A$1:$K$1621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U12" i="1" l="1"/>
  <c r="P12" i="1"/>
  <c r="S12" i="1"/>
  <c r="Q12" i="1"/>
  <c r="R12" i="1"/>
  <c r="N12" i="1"/>
</calcChain>
</file>

<file path=xl/sharedStrings.xml><?xml version="1.0" encoding="utf-8"?>
<sst xmlns="http://schemas.openxmlformats.org/spreadsheetml/2006/main" count="1551" uniqueCount="417">
  <si>
    <t>quinta</t>
  </si>
  <si>
    <t>cultura</t>
  </si>
  <si>
    <t>ano</t>
  </si>
  <si>
    <t>tipo</t>
  </si>
  <si>
    <t>kg_m2_totais</t>
  </si>
  <si>
    <t>kg_m2_sem</t>
  </si>
  <si>
    <t>kg_h</t>
  </si>
  <si>
    <t>inicio</t>
  </si>
  <si>
    <t>fim</t>
  </si>
  <si>
    <t>h_ha_sem</t>
  </si>
  <si>
    <t>Ano</t>
  </si>
  <si>
    <t>Horticilha</t>
  </si>
  <si>
    <t>Portos Brancos</t>
  </si>
  <si>
    <t>Zambujeira</t>
  </si>
  <si>
    <t>Pegões</t>
  </si>
  <si>
    <t>CCS</t>
  </si>
  <si>
    <t>Sobreiro</t>
  </si>
  <si>
    <t>Campelos</t>
  </si>
  <si>
    <t>Caminhos da Cotovia</t>
  </si>
  <si>
    <t>Buvena 1</t>
  </si>
  <si>
    <t>Beef</t>
  </si>
  <si>
    <t>yarimaru s2</t>
  </si>
  <si>
    <t>Runner E</t>
  </si>
  <si>
    <t>yarimaru s1</t>
  </si>
  <si>
    <t>Yarimaru E</t>
  </si>
  <si>
    <t>Runner F</t>
  </si>
  <si>
    <t>Yarimaru B</t>
  </si>
  <si>
    <t>Runner 2</t>
  </si>
  <si>
    <t>Novero 2</t>
  </si>
  <si>
    <t>Arano 5</t>
  </si>
  <si>
    <t>Runner B</t>
  </si>
  <si>
    <t>Rosa de Almeria 2</t>
  </si>
  <si>
    <t>Yarimaru D</t>
  </si>
  <si>
    <t>SVTH5912 5</t>
  </si>
  <si>
    <t>Yarimaru F</t>
  </si>
  <si>
    <t>Tomimaru 1</t>
  </si>
  <si>
    <t>Kumato 2</t>
  </si>
  <si>
    <t>Novero 1</t>
  </si>
  <si>
    <t>Kabrera 11</t>
  </si>
  <si>
    <t>Runner A</t>
  </si>
  <si>
    <t>Yarimaru C</t>
  </si>
  <si>
    <t>Kumato 4</t>
  </si>
  <si>
    <t>SVTH5912 1</t>
  </si>
  <si>
    <t>Kumato 1</t>
  </si>
  <si>
    <t>Yarimaru A</t>
  </si>
  <si>
    <t>SVTH5912 6</t>
  </si>
  <si>
    <t>Runner 1</t>
  </si>
  <si>
    <t>DRTH2913 3</t>
  </si>
  <si>
    <t>Kumato A</t>
  </si>
  <si>
    <t>Pink ID 5</t>
  </si>
  <si>
    <t>Rosa de Almeria 5</t>
  </si>
  <si>
    <t>DRTH2913 2</t>
  </si>
  <si>
    <t>Pink ID 1</t>
  </si>
  <si>
    <t>Inspired B</t>
  </si>
  <si>
    <t>Inspired 3</t>
  </si>
  <si>
    <t>Buvena 5</t>
  </si>
  <si>
    <t>Yarimaru 4</t>
  </si>
  <si>
    <t>Rosa de Almeria 4</t>
  </si>
  <si>
    <t>Buvena F</t>
  </si>
  <si>
    <t>Kumato B</t>
  </si>
  <si>
    <t>Rosa de Almeria 3</t>
  </si>
  <si>
    <t>Kumato 8 9 10</t>
  </si>
  <si>
    <t>Pink ID 2</t>
  </si>
  <si>
    <t>Kumato 8</t>
  </si>
  <si>
    <t>Kabrera 12 e 13</t>
  </si>
  <si>
    <t>Buvena E</t>
  </si>
  <si>
    <t>Kumato 1-3-5</t>
  </si>
  <si>
    <t>Yarimaru 2</t>
  </si>
  <si>
    <t>Runner 8+9</t>
  </si>
  <si>
    <t>Carbonero 10</t>
  </si>
  <si>
    <t>Yarimaru 21</t>
  </si>
  <si>
    <t>Yarimaru 22</t>
  </si>
  <si>
    <t>Inspired A</t>
  </si>
  <si>
    <t>Buvena 2</t>
  </si>
  <si>
    <t>Runner 5</t>
  </si>
  <si>
    <t>Yarimaru 3</t>
  </si>
  <si>
    <t>Candido Barbastro 14</t>
  </si>
  <si>
    <t>Kumato 8, 9</t>
  </si>
  <si>
    <t>Púrpura 2</t>
  </si>
  <si>
    <t>kumato 5</t>
  </si>
  <si>
    <t>Kabrera 3, 4 e 5</t>
  </si>
  <si>
    <t>Buvena 6</t>
  </si>
  <si>
    <t>Runner 12</t>
  </si>
  <si>
    <t>Kabrera</t>
  </si>
  <si>
    <t>Yarimaru</t>
  </si>
  <si>
    <t>Rosa de Almeria</t>
  </si>
  <si>
    <t>Tomimaru 12</t>
  </si>
  <si>
    <t>Kumato 1 3 5</t>
  </si>
  <si>
    <t>Kumato 8 e 9</t>
  </si>
  <si>
    <t>Azul 14</t>
  </si>
  <si>
    <t>Kumato 3</t>
  </si>
  <si>
    <t>Rosa de Almeria 6</t>
  </si>
  <si>
    <t>Fujimaru 1</t>
  </si>
  <si>
    <t>Kumato 11</t>
  </si>
  <si>
    <t>Runner 1 e 2</t>
  </si>
  <si>
    <t>DRTH2913 22</t>
  </si>
  <si>
    <t>Kabrera 2</t>
  </si>
  <si>
    <t>Runner 27</t>
  </si>
  <si>
    <t>Tomimaru 13</t>
  </si>
  <si>
    <t>Artik Blu 2</t>
  </si>
  <si>
    <t>kumato 8 9 10</t>
  </si>
  <si>
    <t>Pink Dream 2</t>
  </si>
  <si>
    <t>Sweetloom 6</t>
  </si>
  <si>
    <t>Runner 24</t>
  </si>
  <si>
    <t>Kumato 8 9 10 11 12</t>
  </si>
  <si>
    <t>Tomimaru 2</t>
  </si>
  <si>
    <t>Carbonero 22</t>
  </si>
  <si>
    <t>Yarimaru 12</t>
  </si>
  <si>
    <t>Yarimaru 23</t>
  </si>
  <si>
    <t>Kumato</t>
  </si>
  <si>
    <t>Dumas A BIO</t>
  </si>
  <si>
    <t>Sweetloom 13</t>
  </si>
  <si>
    <t>Runner</t>
  </si>
  <si>
    <t>Arano</t>
  </si>
  <si>
    <t>Moresco</t>
  </si>
  <si>
    <t>Faladi 21</t>
  </si>
  <si>
    <t>Kumato 21</t>
  </si>
  <si>
    <t>Fujimaru 21</t>
  </si>
  <si>
    <t>Kumato 14</t>
  </si>
  <si>
    <t>Rebellion F BIO</t>
  </si>
  <si>
    <t>Runner 11 12</t>
  </si>
  <si>
    <t>Candido Barbastro 13</t>
  </si>
  <si>
    <t>Azul 13</t>
  </si>
  <si>
    <t>Maggie Star 12</t>
  </si>
  <si>
    <t>Babymunda 11</t>
  </si>
  <si>
    <t>Babymunda 2</t>
  </si>
  <si>
    <t>Pomorosa 2</t>
  </si>
  <si>
    <t>Babymunda 24</t>
  </si>
  <si>
    <t>Babymunda 12</t>
  </si>
  <si>
    <t>Paipai F</t>
  </si>
  <si>
    <t>Pêra</t>
  </si>
  <si>
    <t>Paipai E</t>
  </si>
  <si>
    <t>Lacio - 4</t>
  </si>
  <si>
    <t>Lacio 2</t>
  </si>
  <si>
    <t>Paipai 13</t>
  </si>
  <si>
    <t>ISI 52262 D</t>
  </si>
  <si>
    <t>Lacio - 3</t>
  </si>
  <si>
    <t>Pai Pai 1</t>
  </si>
  <si>
    <t>ISI 52262 A</t>
  </si>
  <si>
    <t>ISI 52262 C</t>
  </si>
  <si>
    <t>Paipai 12</t>
  </si>
  <si>
    <t xml:space="preserve">Paipai 11 </t>
  </si>
  <si>
    <t>Heredero A</t>
  </si>
  <si>
    <t>Paipai 6</t>
  </si>
  <si>
    <t>ISI 52262 B</t>
  </si>
  <si>
    <t>Paipai  10</t>
  </si>
  <si>
    <t>Paipai 2 e 4</t>
  </si>
  <si>
    <t>Magneto D</t>
  </si>
  <si>
    <t>Iseos</t>
  </si>
  <si>
    <t>Magneto 1 3 5</t>
  </si>
  <si>
    <t>Paipai 4 + 6 + 7</t>
  </si>
  <si>
    <t>Heredero 1</t>
  </si>
  <si>
    <t>Magneto C</t>
  </si>
  <si>
    <t>Marcus 11</t>
  </si>
  <si>
    <t>HEREDERO</t>
  </si>
  <si>
    <t>Savantas 6</t>
  </si>
  <si>
    <t>AZORES 2,4,6,7,5</t>
  </si>
  <si>
    <t>Bielsa 6</t>
  </si>
  <si>
    <t>PaiPai 1</t>
  </si>
  <si>
    <t>Lacio 4</t>
  </si>
  <si>
    <t>Heredero 2</t>
  </si>
  <si>
    <t>AZORES</t>
  </si>
  <si>
    <t>Bielsa 5</t>
  </si>
  <si>
    <t>Marcus 7</t>
  </si>
  <si>
    <t>Pai Pai 2</t>
  </si>
  <si>
    <t>Marcus 14</t>
  </si>
  <si>
    <t>Savantas A BIO</t>
  </si>
  <si>
    <t>Marcus 8</t>
  </si>
  <si>
    <t>Paipai 4</t>
  </si>
  <si>
    <t>Magneto 3</t>
  </si>
  <si>
    <t>Marcus 9</t>
  </si>
  <si>
    <t>Paipai 3</t>
  </si>
  <si>
    <t>Marcus 6 e 7</t>
  </si>
  <si>
    <t>Magneto 5</t>
  </si>
  <si>
    <t>Savantas 2</t>
  </si>
  <si>
    <t>ISI 262</t>
  </si>
  <si>
    <t>Pai Pai 5</t>
  </si>
  <si>
    <t>E15M50964/70 C BIO</t>
  </si>
  <si>
    <t>Paipai 21</t>
  </si>
  <si>
    <t>HB07259 F BIO</t>
  </si>
  <si>
    <t>Paipai 24</t>
  </si>
  <si>
    <t>LACIO</t>
  </si>
  <si>
    <t>Azores 11</t>
  </si>
  <si>
    <t>Azores 27</t>
  </si>
  <si>
    <t>Azores 12</t>
  </si>
  <si>
    <t>Clodano A</t>
  </si>
  <si>
    <t>Rama</t>
  </si>
  <si>
    <t>Bronski 1</t>
  </si>
  <si>
    <t>Clodano B</t>
  </si>
  <si>
    <t>Clomimbo D</t>
  </si>
  <si>
    <t>Clodano 4 ,6,7</t>
  </si>
  <si>
    <t>Bronski 2</t>
  </si>
  <si>
    <t>Clomimbo C</t>
  </si>
  <si>
    <t>Climberley 11</t>
  </si>
  <si>
    <t>Climberley 1</t>
  </si>
  <si>
    <t>Climberley 12</t>
  </si>
  <si>
    <t>Climberley 10</t>
  </si>
  <si>
    <t>Climberley B</t>
  </si>
  <si>
    <t>Climberley 2 4 6 7</t>
  </si>
  <si>
    <t>Climberley A</t>
  </si>
  <si>
    <t>Climberley 2</t>
  </si>
  <si>
    <t>Clodano 10</t>
  </si>
  <si>
    <t>Clodano 1+3+5</t>
  </si>
  <si>
    <t>Damarress - 5</t>
  </si>
  <si>
    <t>Clodano 3, 5, 6 e 7</t>
  </si>
  <si>
    <t>Climberley 2, 4, 6, 7</t>
  </si>
  <si>
    <t>Sanpirlo</t>
  </si>
  <si>
    <t>Bronski 7</t>
  </si>
  <si>
    <t>Avalantino 10</t>
  </si>
  <si>
    <t>Clodano 5</t>
  </si>
  <si>
    <t>Clodano C</t>
  </si>
  <si>
    <t>Clodano 4</t>
  </si>
  <si>
    <t>Clodano 11</t>
  </si>
  <si>
    <t>Clodano 3</t>
  </si>
  <si>
    <t>Bigram 1</t>
  </si>
  <si>
    <t>Clodano 3 e 5</t>
  </si>
  <si>
    <t>Albrice F</t>
  </si>
  <si>
    <t>Clodano D</t>
  </si>
  <si>
    <t>Albrice E</t>
  </si>
  <si>
    <t>Iseu 2</t>
  </si>
  <si>
    <t>Clodano 1</t>
  </si>
  <si>
    <t>Clodano 6</t>
  </si>
  <si>
    <t>Clocano 3, 5</t>
  </si>
  <si>
    <t>Clodano 2</t>
  </si>
  <si>
    <t>Prospano</t>
  </si>
  <si>
    <t>Clodano 7</t>
  </si>
  <si>
    <t>Climberley</t>
  </si>
  <si>
    <t>Clodano 14</t>
  </si>
  <si>
    <t>Climberley 1,2,3</t>
  </si>
  <si>
    <t>Avalantino F BIO</t>
  </si>
  <si>
    <t>Bigram 11</t>
  </si>
  <si>
    <t>Damarress 23</t>
  </si>
  <si>
    <t>Promoso F BIO</t>
  </si>
  <si>
    <t>Clodano 7 e 9</t>
  </si>
  <si>
    <t>Ateneu F BIO</t>
  </si>
  <si>
    <t>Alterio C BIO</t>
  </si>
  <si>
    <t>Climberley 14</t>
  </si>
  <si>
    <t>Climberley 24</t>
  </si>
  <si>
    <t>Climberley 27</t>
  </si>
  <si>
    <t>Climberley 22</t>
  </si>
  <si>
    <t>Strabena C BIO</t>
  </si>
  <si>
    <t>Mini-Pêra</t>
  </si>
  <si>
    <t>Sunstream 2</t>
  </si>
  <si>
    <t>Sunstream D BIO</t>
  </si>
  <si>
    <t>Cygnary</t>
  </si>
  <si>
    <t>Cherry</t>
  </si>
  <si>
    <t>Leoncino D</t>
  </si>
  <si>
    <t>Leoncino B</t>
  </si>
  <si>
    <t>DRC564 2</t>
  </si>
  <si>
    <t>Brescia</t>
  </si>
  <si>
    <t>Parisetto F</t>
  </si>
  <si>
    <t>Creativo 6</t>
  </si>
  <si>
    <t>Dolcetini 6</t>
  </si>
  <si>
    <t>Juanita 2</t>
  </si>
  <si>
    <t>Orange Candy A BIO</t>
  </si>
  <si>
    <t>Korino D</t>
  </si>
  <si>
    <t>Hyrule 5</t>
  </si>
  <si>
    <t>Leoncino 2</t>
  </si>
  <si>
    <t>Sorentyno 6</t>
  </si>
  <si>
    <t>Korino C</t>
  </si>
  <si>
    <t>Sunstream E BIO</t>
  </si>
  <si>
    <t>Tentadero E</t>
  </si>
  <si>
    <t>Pariseto</t>
  </si>
  <si>
    <t>Korino A</t>
  </si>
  <si>
    <t>Bamano 4</t>
  </si>
  <si>
    <t>Bamano 2</t>
  </si>
  <si>
    <t>Sunstream 6</t>
  </si>
  <si>
    <t>Korino E</t>
  </si>
  <si>
    <t>Orange Candy C BIO</t>
  </si>
  <si>
    <t>Leoncino 1</t>
  </si>
  <si>
    <t>Brescia A BIO</t>
  </si>
  <si>
    <t>Amarelo SV0948TS C BIO</t>
  </si>
  <si>
    <t>Mini-Kumato B BIO</t>
  </si>
  <si>
    <t>Parisetto 5</t>
  </si>
  <si>
    <t>Bamano 10</t>
  </si>
  <si>
    <t>Hyrule 6</t>
  </si>
  <si>
    <t>Mulan 6</t>
  </si>
  <si>
    <t>Parisetto 6</t>
  </si>
  <si>
    <t>Piccolo F BIO</t>
  </si>
  <si>
    <t>Leoncino 4 BIO</t>
  </si>
  <si>
    <t>Bamano 4 BIO</t>
  </si>
  <si>
    <t>Korino</t>
  </si>
  <si>
    <t>Brescia D BIO</t>
  </si>
  <si>
    <t>Brescia 4 BIO</t>
  </si>
  <si>
    <t>Korino 4 BIO</t>
  </si>
  <si>
    <t>Amarelo SV0948TS B BIO</t>
  </si>
  <si>
    <t>Piccolo D BIO</t>
  </si>
  <si>
    <t>Leoncino F</t>
  </si>
  <si>
    <t>Leoncino C</t>
  </si>
  <si>
    <t>Sunstream 1</t>
  </si>
  <si>
    <t>Leoncino A</t>
  </si>
  <si>
    <t>Yoom A BIO</t>
  </si>
  <si>
    <t>Creativo 3 BIO</t>
  </si>
  <si>
    <t>Tatoo F</t>
  </si>
  <si>
    <t>Dolcetini 3 BIO</t>
  </si>
  <si>
    <t>Piccolo E BIO</t>
  </si>
  <si>
    <t>Angelita 3</t>
  </si>
  <si>
    <t>Hateno</t>
  </si>
  <si>
    <t>Brescia F BIO</t>
  </si>
  <si>
    <t>DRC564 1</t>
  </si>
  <si>
    <t>Korino B</t>
  </si>
  <si>
    <t>Amarelo SV0948TS 3 BIO</t>
  </si>
  <si>
    <t>Bamano 12</t>
  </si>
  <si>
    <t>Mini-Kumato C BIO</t>
  </si>
  <si>
    <t>Deliquia 2</t>
  </si>
  <si>
    <t>Piccolo C BIO</t>
  </si>
  <si>
    <t>Moscatel 9</t>
  </si>
  <si>
    <t>Ivorino 12</t>
  </si>
  <si>
    <t>Parisetto 2</t>
  </si>
  <si>
    <t>Sorentino B BIO</t>
  </si>
  <si>
    <t>Leoncino 3 BIO</t>
  </si>
  <si>
    <t>Bosco B BIO</t>
  </si>
  <si>
    <t>Ivorino 4</t>
  </si>
  <si>
    <t>Sorentino D BIO</t>
  </si>
  <si>
    <t>TN0079 1</t>
  </si>
  <si>
    <t>HTT 1750139 3 BIO</t>
  </si>
  <si>
    <t>Mini Kumato 4</t>
  </si>
  <si>
    <t>Bosco D BIO</t>
  </si>
  <si>
    <t>Hyrule</t>
  </si>
  <si>
    <t>Korino 6</t>
  </si>
  <si>
    <t>Lazarino F BIO BIO</t>
  </si>
  <si>
    <t>EOSTA 3 BIO</t>
  </si>
  <si>
    <t>Twixia B BIO</t>
  </si>
  <si>
    <t>Nicoleta E BIO</t>
  </si>
  <si>
    <t>Amarelo SV0948TS F BIO</t>
  </si>
  <si>
    <t>Korino 1</t>
  </si>
  <si>
    <t>Leoncino 10</t>
  </si>
  <si>
    <t>MiniChoco 10</t>
  </si>
  <si>
    <t>Yellow Cherry C BIO</t>
  </si>
  <si>
    <t>Deliquia 1</t>
  </si>
  <si>
    <t>Sorentino 2</t>
  </si>
  <si>
    <t>Ivorino 10</t>
  </si>
  <si>
    <t>Mini-Kumato A BIO</t>
  </si>
  <si>
    <t>Vermelho RZ 74-126 C BIO</t>
  </si>
  <si>
    <t>Lazarino 3 BIO</t>
  </si>
  <si>
    <t>Mini Kumato 4 BIO</t>
  </si>
  <si>
    <t>Orange Candy 3 BIO</t>
  </si>
  <si>
    <t>Parisetto 1</t>
  </si>
  <si>
    <t>Solarino 3</t>
  </si>
  <si>
    <t>Mini Kumato 12</t>
  </si>
  <si>
    <t>Leoncino 4</t>
  </si>
  <si>
    <t>Suntasty E BIO</t>
  </si>
  <si>
    <t>Ivorino 1</t>
  </si>
  <si>
    <t>Orange Candy F BIO</t>
  </si>
  <si>
    <t>Bombón del Bosque F BIO</t>
  </si>
  <si>
    <t>Orange Candy E BIO</t>
  </si>
  <si>
    <t>Ivorino 2</t>
  </si>
  <si>
    <t>Ivorino 5</t>
  </si>
  <si>
    <t>Mini Kumato 8 9 10</t>
  </si>
  <si>
    <t>Piccolo A BIO</t>
  </si>
  <si>
    <t>Bamano 5</t>
  </si>
  <si>
    <t>Yoom E BIO</t>
  </si>
  <si>
    <t>Deliquia</t>
  </si>
  <si>
    <t>Solarino</t>
  </si>
  <si>
    <t>Axiany 6</t>
  </si>
  <si>
    <t>Sunstream 5</t>
  </si>
  <si>
    <t>Piccolo B BIO</t>
  </si>
  <si>
    <t>Twixia F BIO</t>
  </si>
  <si>
    <t>Brescia 3 BIO</t>
  </si>
  <si>
    <t>Twixia C BIO</t>
  </si>
  <si>
    <t>Twixia 3 BIO</t>
  </si>
  <si>
    <t>Juanita 5</t>
  </si>
  <si>
    <t>Mini Kumato 7</t>
  </si>
  <si>
    <t>Sorentino E BIO</t>
  </si>
  <si>
    <t>Mini Kumato E BIO</t>
  </si>
  <si>
    <t>Bosco E BIO</t>
  </si>
  <si>
    <t>Leoncino 1 e 2</t>
  </si>
  <si>
    <t>Leoncino</t>
  </si>
  <si>
    <t>Frutis 23</t>
  </si>
  <si>
    <t>Amarelo SV0948TS E BIO</t>
  </si>
  <si>
    <t>HTT 1750139 4 BIO</t>
  </si>
  <si>
    <t>Bamano 1</t>
  </si>
  <si>
    <t>Bamano 14</t>
  </si>
  <si>
    <t>Mini-Kumato E BIO</t>
  </si>
  <si>
    <t>MiniKumato 21</t>
  </si>
  <si>
    <t>Taiti E BIO</t>
  </si>
  <si>
    <t>Minikumato 12</t>
  </si>
  <si>
    <t>Bambello 4</t>
  </si>
  <si>
    <t>MiniKumato 13</t>
  </si>
  <si>
    <t>Mini Kumato 14</t>
  </si>
  <si>
    <t>Minikumato 27</t>
  </si>
  <si>
    <t>Minikumato 24</t>
  </si>
  <si>
    <t>Mini-Coração</t>
  </si>
  <si>
    <t>Yarimaru 14</t>
  </si>
  <si>
    <t>Yarimaru 13</t>
  </si>
  <si>
    <t>Yarimaru 11</t>
  </si>
  <si>
    <t>Yarimaru 24+27</t>
  </si>
  <si>
    <t>Kumato 11  12</t>
  </si>
  <si>
    <t>Azul 27</t>
  </si>
  <si>
    <t>h_ha_sem_2pl_m2</t>
  </si>
  <si>
    <t/>
  </si>
  <si>
    <t>Cygnary 6</t>
  </si>
  <si>
    <t>Pinkmaru F</t>
  </si>
  <si>
    <t>Pinkmaru B</t>
  </si>
  <si>
    <t>DRTG4876 D</t>
  </si>
  <si>
    <t>Keisha 1</t>
  </si>
  <si>
    <t>Keisha 2</t>
  </si>
  <si>
    <t>Kumato AR 1</t>
  </si>
  <si>
    <t>San Blas / 3</t>
  </si>
  <si>
    <t>Lacio / 2</t>
  </si>
  <si>
    <t>Lacio / 4</t>
  </si>
  <si>
    <t>San Blas / 5</t>
  </si>
  <si>
    <t>Tiac / 6</t>
  </si>
  <si>
    <t>Kumato Komak/ 7</t>
  </si>
  <si>
    <t>San Blas/ 6</t>
  </si>
  <si>
    <t>Kumato / 6</t>
  </si>
  <si>
    <t>TIAC / V10</t>
  </si>
  <si>
    <t>SAnBLAS 4</t>
  </si>
  <si>
    <t>BRONSKY / V9</t>
  </si>
  <si>
    <t>Parisetto</t>
  </si>
  <si>
    <t>San Blas</t>
  </si>
  <si>
    <t>Keisha</t>
  </si>
  <si>
    <t>PARISETTO 2</t>
  </si>
  <si>
    <t>CYGNARY 2</t>
  </si>
  <si>
    <t>BRONSKI 1</t>
  </si>
  <si>
    <t>SANBLAAS 1</t>
  </si>
  <si>
    <t>Komakai 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</si>
</sst>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14">
    <xf numFmtId="0" fontId="0" fillId="0" borderId="0" xfId="0"/>
    <xf numFmtId="0" fontId="2" fillId="2" borderId="0" xfId="1" applyFont="1" applyFill="1" applyAlignment="1">
      <alignment horizontal="center" vertical="center" wrapText="1"/>
    </xf>
    <xf numFmtId="0" fontId="2" fillId="2" borderId="0" xfId="2" applyFont="1" applyFill="1" applyAlignment="1">
      <alignment horizontal="center" vertical="center" wrapText="1"/>
    </xf>
    <xf numFmtId="2" fontId="2" fillId="2" borderId="0" xfId="1" applyNumberFormat="1" applyFont="1" applyFill="1" applyAlignment="1">
      <alignment horizontal="center" vertical="center" wrapText="1"/>
    </xf>
    <xf numFmtId="1" fontId="2" fillId="2" borderId="0" xfId="1" applyNumberFormat="1" applyFont="1" applyFill="1" applyAlignment="1">
      <alignment horizontal="center" vertical="center" wrapText="1"/>
    </xf>
    <xf numFmtId="14" fontId="2" fillId="2" borderId="0" xfId="1" applyNumberFormat="1" applyFont="1" applyFill="1" applyAlignment="1">
      <alignment horizontal="center" vertical="center" wrapText="1"/>
    </xf>
    <xf numFmtId="0" fontId="1" fillId="0" borderId="0" xfId="2" applyAlignment="1">
      <alignment horizontal="center"/>
    </xf>
    <xf numFmtId="0" fontId="1" fillId="0" borderId="0" xfId="2"/>
    <xf numFmtId="0" fontId="2" fillId="2" borderId="0" xfId="2" applyFont="1" applyFill="1" applyAlignment="1">
      <alignment horizontal="center" vertical="center"/>
    </xf>
    <xf numFmtId="1" fontId="1" fillId="0" borderId="0" xfId="2" applyNumberFormat="1" applyAlignment="1">
      <alignment horizontal="center"/>
    </xf>
    <xf numFmtId="2" fontId="1" fillId="0" borderId="0" xfId="2" applyNumberFormat="1" applyAlignment="1">
      <alignment horizontal="center"/>
    </xf>
    <xf numFmtId="14" fontId="1" fillId="0" borderId="0" xfId="2" applyNumberFormat="1" applyAlignment="1">
      <alignment horizontal="center"/>
    </xf>
    <xf numFmtId="2" fontId="1" fillId="0" borderId="1" xfId="2" applyNumberFormat="1" applyBorder="1" applyAlignment="1">
      <alignment horizontal="center"/>
    </xf>
    <xf numFmtId="2" fontId="3" fillId="0" borderId="0" xfId="2" applyNumberFormat="1" applyFont="1" applyAlignment="1">
      <alignment horizontal="center"/>
    </xf>
  </cellXfs>
  <cellStyles count="3">
    <cellStyle name="NívelLinha_4" xfId="1" builtinId="1" iLevel="3"/>
    <cellStyle name="Normal" xfId="0" builtinId="0"/>
    <cellStyle name="Normal 2" xfId="2" xr:uid="{2CE93259-AEE3-4B35-9013-DFB60CF43B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13AB8-9070-4A87-BC48-124B0C760496}">
  <dimension ref="A1:V1621"/>
  <sheetViews>
    <sheetView tabSelected="1" zoomScale="115" zoomScaleNormal="115" workbookViewId="0">
      <pane ySplit="1" topLeftCell="A2" activePane="bottomLeft" state="frozen"/>
      <selection pane="bottomLeft" activeCell="T13" sqref="T13"/>
    </sheetView>
  </sheetViews>
  <sheetFormatPr defaultColWidth="11.42578125" defaultRowHeight="12.75" x14ac:dyDescent="0.2"/>
  <cols>
    <col min="1" max="1" width="14" style="6" bestFit="1" customWidth="1"/>
    <col min="2" max="2" width="24.85546875" style="6" bestFit="1" customWidth="1"/>
    <col min="3" max="3" width="9.42578125" style="6" customWidth="1"/>
    <col min="4" max="4" width="11.85546875" style="6" bestFit="1" customWidth="1"/>
    <col min="5" max="5" width="7" style="10" customWidth="1"/>
    <col min="6" max="6" width="11.28515625" style="10" bestFit="1" customWidth="1"/>
    <col min="7" max="7" width="10.42578125" style="9" customWidth="1"/>
    <col min="8" max="8" width="14.7109375" style="11" bestFit="1" customWidth="1"/>
    <col min="9" max="9" width="10.42578125" style="9" customWidth="1"/>
    <col min="10" max="11" width="8.85546875" style="6" customWidth="1"/>
    <col min="12" max="12" width="11.42578125" style="7"/>
    <col min="13" max="13" width="5.140625" style="6" bestFit="1" customWidth="1"/>
    <col min="14" max="14" width="8.140625" style="6" bestFit="1" customWidth="1"/>
    <col min="15" max="15" width="13" style="6" bestFit="1" customWidth="1"/>
    <col min="16" max="16" width="9.7109375" style="6" bestFit="1" customWidth="1"/>
    <col min="17" max="17" width="6.85546875" style="6" bestFit="1" customWidth="1"/>
    <col min="18" max="18" width="5.7109375" style="6" bestFit="1" customWidth="1"/>
    <col min="19" max="19" width="7.7109375" style="6" bestFit="1" customWidth="1"/>
    <col min="20" max="20" width="8.85546875" style="6" bestFit="1" customWidth="1"/>
    <col min="21" max="21" width="17.85546875" style="6" bestFit="1" customWidth="1"/>
    <col min="22" max="22" width="5.7109375" style="6" bestFit="1" customWidth="1"/>
    <col min="23" max="16384" width="11.42578125" style="7"/>
  </cols>
  <sheetData>
    <row r="1" spans="1:22" ht="71.25" customHeight="1" x14ac:dyDescent="0.2">
      <c r="A1" s="1" t="s">
        <v>0</v>
      </c>
      <c r="B1" s="1" t="s">
        <v>1</v>
      </c>
      <c r="C1" s="2" t="s">
        <v>2</v>
      </c>
      <c r="D1" s="1" t="s">
        <v>3</v>
      </c>
      <c r="E1" s="3" t="s">
        <v>4</v>
      </c>
      <c r="F1" s="3" t="s">
        <v>5</v>
      </c>
      <c r="G1" s="4" t="s">
        <v>6</v>
      </c>
      <c r="H1" s="5" t="s">
        <v>7</v>
      </c>
      <c r="I1" s="4" t="s">
        <v>8</v>
      </c>
      <c r="J1" s="2" t="s">
        <v>9</v>
      </c>
      <c r="K1" s="2" t="s">
        <v>389</v>
      </c>
      <c r="M1" s="8" t="s">
        <v>10</v>
      </c>
      <c r="N1" s="8" t="s">
        <v>11</v>
      </c>
      <c r="O1" s="8" t="s">
        <v>12</v>
      </c>
      <c r="P1" s="8" t="s">
        <v>13</v>
      </c>
      <c r="Q1" s="8" t="s">
        <v>14</v>
      </c>
      <c r="R1" s="8" t="s">
        <v>15</v>
      </c>
      <c r="S1" s="8" t="s">
        <v>16</v>
      </c>
      <c r="T1" s="8" t="s">
        <v>17</v>
      </c>
      <c r="U1" s="8" t="s">
        <v>18</v>
      </c>
    </row>
    <row r="2" spans="1:22" ht="11.25" customHeight="1" x14ac:dyDescent="0.2">
      <c r="A2" s="6" t="s">
        <v>11</v>
      </c>
      <c r="B2" s="6" t="s">
        <v>19</v>
      </c>
      <c r="C2" s="9">
        <v>2021</v>
      </c>
      <c r="D2" s="6" t="s">
        <v>20</v>
      </c>
      <c r="E2" s="10">
        <v>32.83</v>
      </c>
      <c r="F2" s="10">
        <v>2.1477570093457943</v>
      </c>
      <c r="G2" s="9">
        <v>71.106779293913803</v>
      </c>
      <c r="H2" s="11">
        <v>44194</v>
      </c>
      <c r="I2" s="11">
        <v>44372</v>
      </c>
      <c r="J2" s="9">
        <v>151.73239436619718</v>
      </c>
      <c r="K2" s="9">
        <v>121.38591549295775</v>
      </c>
      <c r="M2" s="6">
        <v>2016</v>
      </c>
      <c r="N2" s="12">
        <v>15</v>
      </c>
      <c r="O2" s="10"/>
      <c r="P2" s="10"/>
      <c r="Q2" s="10"/>
      <c r="R2" s="10"/>
      <c r="S2" s="10"/>
      <c r="T2" s="10"/>
      <c r="U2" s="10"/>
      <c r="V2" s="10"/>
    </row>
    <row r="3" spans="1:22" ht="11.25" customHeight="1" x14ac:dyDescent="0.2">
      <c r="A3" s="6" t="s">
        <v>14</v>
      </c>
      <c r="B3" s="6" t="s">
        <v>21</v>
      </c>
      <c r="C3" s="9">
        <v>2026</v>
      </c>
      <c r="D3" s="6" t="s">
        <v>20</v>
      </c>
      <c r="E3" s="10">
        <v>24.765000000000001</v>
      </c>
      <c r="F3" s="10">
        <v>1.5759545454545456</v>
      </c>
      <c r="G3" s="9">
        <v>70.667092790330031</v>
      </c>
      <c r="H3" s="11">
        <v>46066</v>
      </c>
      <c r="I3" s="11">
        <v>46256</v>
      </c>
      <c r="J3" s="9">
        <v>115.17004694835681</v>
      </c>
      <c r="K3" s="9">
        <v>95.97503912363068</v>
      </c>
      <c r="M3" s="6">
        <v>2017</v>
      </c>
      <c r="N3" s="10">
        <v>8</v>
      </c>
      <c r="O3" s="10"/>
      <c r="P3" s="10"/>
      <c r="Q3" s="10"/>
      <c r="R3" s="10"/>
      <c r="S3" s="10"/>
      <c r="T3" s="10"/>
      <c r="U3" s="10"/>
      <c r="V3" s="10"/>
    </row>
    <row r="4" spans="1:22" ht="11.25" customHeight="1" x14ac:dyDescent="0.2">
      <c r="A4" s="6" t="s">
        <v>11</v>
      </c>
      <c r="B4" s="6" t="s">
        <v>22</v>
      </c>
      <c r="C4" s="9">
        <v>2022</v>
      </c>
      <c r="D4" s="6" t="s">
        <v>20</v>
      </c>
      <c r="E4" s="10">
        <v>30.157064471879288</v>
      </c>
      <c r="F4" s="10">
        <v>2.2698865731522044</v>
      </c>
      <c r="G4" s="9">
        <v>67.359983184899008</v>
      </c>
      <c r="H4" s="11">
        <v>44595</v>
      </c>
      <c r="I4" s="11">
        <v>44762</v>
      </c>
      <c r="J4" s="9">
        <v>162.37823834196891</v>
      </c>
      <c r="K4" s="9">
        <v>106.12956754377053</v>
      </c>
      <c r="M4" s="6">
        <v>2018</v>
      </c>
      <c r="N4" s="10">
        <v>22</v>
      </c>
      <c r="O4" s="10"/>
      <c r="P4" s="10"/>
      <c r="Q4" s="10"/>
      <c r="R4" s="10"/>
      <c r="S4" s="10"/>
      <c r="T4" s="10"/>
      <c r="U4" s="10"/>
      <c r="V4" s="10"/>
    </row>
    <row r="5" spans="1:22" ht="11.25" customHeight="1" x14ac:dyDescent="0.2">
      <c r="A5" s="6" t="s">
        <v>14</v>
      </c>
      <c r="B5" s="6" t="s">
        <v>23</v>
      </c>
      <c r="C5" s="9">
        <v>2026</v>
      </c>
      <c r="D5" s="6" t="s">
        <v>20</v>
      </c>
      <c r="E5" s="10">
        <v>24.841999999999999</v>
      </c>
      <c r="F5" s="10">
        <v>1.5808545454545455</v>
      </c>
      <c r="G5" s="9">
        <v>63.686331613975</v>
      </c>
      <c r="H5" s="11">
        <v>46065</v>
      </c>
      <c r="I5" s="11">
        <v>46256</v>
      </c>
      <c r="J5" s="9">
        <v>126.41092592592592</v>
      </c>
      <c r="K5" s="9">
        <v>105.34243827160493</v>
      </c>
      <c r="M5" s="6">
        <v>2019</v>
      </c>
      <c r="N5" s="10">
        <v>13</v>
      </c>
      <c r="O5" s="10"/>
      <c r="P5" s="10"/>
      <c r="Q5" s="10"/>
      <c r="R5" s="10"/>
      <c r="S5" s="10"/>
      <c r="T5" s="10"/>
      <c r="U5" s="10"/>
      <c r="V5" s="10"/>
    </row>
    <row r="6" spans="1:22" ht="11.25" customHeight="1" x14ac:dyDescent="0.2">
      <c r="A6" s="6" t="s">
        <v>11</v>
      </c>
      <c r="B6" s="6" t="s">
        <v>24</v>
      </c>
      <c r="C6" s="9">
        <v>2024</v>
      </c>
      <c r="D6" s="6" t="s">
        <v>20</v>
      </c>
      <c r="E6" s="10">
        <v>22.15</v>
      </c>
      <c r="F6" s="10">
        <v>2.0401315789473684</v>
      </c>
      <c r="G6" s="9">
        <v>56.433121019108277</v>
      </c>
      <c r="H6" s="11">
        <v>45275</v>
      </c>
      <c r="I6" s="11">
        <v>45441</v>
      </c>
      <c r="J6" s="9">
        <v>139.46700507614213</v>
      </c>
      <c r="K6" s="9">
        <v>91.154905278524268</v>
      </c>
      <c r="M6" s="6">
        <v>2020</v>
      </c>
      <c r="N6" s="10">
        <v>21</v>
      </c>
      <c r="O6" s="10"/>
      <c r="P6" s="10"/>
      <c r="Q6" s="10"/>
      <c r="R6" s="10"/>
      <c r="S6" s="10"/>
      <c r="T6" s="10"/>
      <c r="U6" s="10"/>
      <c r="V6" s="10"/>
    </row>
    <row r="7" spans="1:22" ht="11.25" customHeight="1" x14ac:dyDescent="0.2">
      <c r="A7" s="6" t="s">
        <v>11</v>
      </c>
      <c r="B7" s="6" t="s">
        <v>25</v>
      </c>
      <c r="C7" s="9">
        <v>2022</v>
      </c>
      <c r="D7" s="6" t="s">
        <v>20</v>
      </c>
      <c r="E7" s="10">
        <v>26.662294238683128</v>
      </c>
      <c r="F7" s="10">
        <v>1.9645901017977041</v>
      </c>
      <c r="G7" s="9">
        <v>55.755529566464091</v>
      </c>
      <c r="H7" s="11">
        <v>44595</v>
      </c>
      <c r="I7" s="11">
        <v>44762</v>
      </c>
      <c r="J7" s="9">
        <v>179.96774193548387</v>
      </c>
      <c r="K7" s="9">
        <v>117.62597512123129</v>
      </c>
      <c r="M7" s="6">
        <v>2021</v>
      </c>
      <c r="N7" s="10">
        <v>27.832124615384615</v>
      </c>
      <c r="O7" s="10"/>
      <c r="P7" s="10">
        <v>17.846075714285714</v>
      </c>
      <c r="Q7" s="10">
        <v>9.1619093249999999</v>
      </c>
      <c r="R7" s="10">
        <v>14.619892500000002</v>
      </c>
      <c r="S7" s="10"/>
      <c r="T7" s="10"/>
      <c r="U7" s="10"/>
      <c r="V7" s="10"/>
    </row>
    <row r="8" spans="1:22" ht="11.25" customHeight="1" x14ac:dyDescent="0.2">
      <c r="A8" s="6" t="s">
        <v>11</v>
      </c>
      <c r="B8" s="6" t="s">
        <v>26</v>
      </c>
      <c r="C8" s="9">
        <v>2025</v>
      </c>
      <c r="D8" s="6" t="s">
        <v>20</v>
      </c>
      <c r="E8" s="10">
        <v>26.29</v>
      </c>
      <c r="F8" s="10">
        <v>1.3432846715328466</v>
      </c>
      <c r="G8" s="9">
        <v>55.616670192511108</v>
      </c>
      <c r="H8" s="11">
        <v>45783</v>
      </c>
      <c r="I8" s="11">
        <v>45982</v>
      </c>
      <c r="J8" s="9">
        <v>151.78440366972478</v>
      </c>
      <c r="K8" s="9">
        <v>99.205492594591362</v>
      </c>
      <c r="M8" s="6">
        <v>2022</v>
      </c>
      <c r="N8" s="10">
        <v>28.775224384906121</v>
      </c>
      <c r="O8" s="10"/>
      <c r="P8" s="10">
        <v>25.389915500000004</v>
      </c>
      <c r="Q8" s="10">
        <v>21.834218939393939</v>
      </c>
      <c r="R8" s="10">
        <v>13.345863250000001</v>
      </c>
      <c r="S8" s="10">
        <v>22.790868595041324</v>
      </c>
      <c r="T8" s="10">
        <v>21.219038352272722</v>
      </c>
      <c r="U8" s="10">
        <v>3.9488084210526315</v>
      </c>
      <c r="V8" s="10"/>
    </row>
    <row r="9" spans="1:22" ht="11.25" customHeight="1" x14ac:dyDescent="0.2">
      <c r="A9" s="6" t="s">
        <v>12</v>
      </c>
      <c r="B9" s="6" t="s">
        <v>27</v>
      </c>
      <c r="C9" s="9">
        <v>2021</v>
      </c>
      <c r="D9" s="6" t="s">
        <v>20</v>
      </c>
      <c r="E9" s="10">
        <v>25</v>
      </c>
      <c r="F9" s="10">
        <v>2.0833333333333335</v>
      </c>
      <c r="G9" s="9">
        <v>55.356395545802997</v>
      </c>
      <c r="H9" s="11">
        <v>44249</v>
      </c>
      <c r="I9" s="11">
        <v>44393</v>
      </c>
      <c r="J9" s="9">
        <v>219.53701388888885</v>
      </c>
      <c r="K9" s="9" t="s">
        <v>390</v>
      </c>
      <c r="M9" s="6">
        <v>2023</v>
      </c>
      <c r="N9" s="10">
        <v>31.645020900737237</v>
      </c>
      <c r="O9" s="10"/>
      <c r="P9" s="10">
        <v>26.417962571428571</v>
      </c>
      <c r="Q9" s="10">
        <v>22.356989875</v>
      </c>
      <c r="R9" s="10">
        <v>20.420041000000001</v>
      </c>
      <c r="S9" s="10">
        <v>18.248904958677688</v>
      </c>
      <c r="T9" s="10">
        <v>13.352525641025643</v>
      </c>
      <c r="U9" s="10">
        <v>23.281768421052636</v>
      </c>
      <c r="V9" s="10"/>
    </row>
    <row r="10" spans="1:22" ht="11.25" customHeight="1" x14ac:dyDescent="0.2">
      <c r="A10" s="6" t="s">
        <v>11</v>
      </c>
      <c r="B10" s="6" t="s">
        <v>28</v>
      </c>
      <c r="C10" s="9">
        <v>2025</v>
      </c>
      <c r="D10" s="6" t="s">
        <v>20</v>
      </c>
      <c r="E10" s="10">
        <v>25.098228663446054</v>
      </c>
      <c r="F10" s="10">
        <v>1.9096478330882869</v>
      </c>
      <c r="G10" s="9">
        <v>55.318996392872066</v>
      </c>
      <c r="H10" s="11">
        <v>45646</v>
      </c>
      <c r="I10" s="11">
        <v>45840</v>
      </c>
      <c r="J10" s="9">
        <v>139.90748898678413</v>
      </c>
      <c r="K10" s="9">
        <v>99.578283976358804</v>
      </c>
      <c r="M10" s="6">
        <v>2024</v>
      </c>
      <c r="N10" s="10">
        <v>33.642821769230771</v>
      </c>
      <c r="O10" s="10"/>
      <c r="P10" s="10">
        <v>24.493246000000003</v>
      </c>
      <c r="Q10" s="10">
        <v>22.056638</v>
      </c>
      <c r="R10" s="10">
        <v>12.045852249999999</v>
      </c>
      <c r="S10" s="10">
        <v>16.830454545454547</v>
      </c>
      <c r="T10" s="10">
        <v>25.23423076923077</v>
      </c>
      <c r="U10" s="10">
        <v>25.799747368421052</v>
      </c>
      <c r="V10" s="10"/>
    </row>
    <row r="11" spans="1:22" ht="11.25" customHeight="1" x14ac:dyDescent="0.2">
      <c r="A11" s="6" t="s">
        <v>11</v>
      </c>
      <c r="B11" s="6" t="s">
        <v>32</v>
      </c>
      <c r="C11" s="9">
        <v>2026</v>
      </c>
      <c r="D11" s="6" t="s">
        <v>20</v>
      </c>
      <c r="E11" s="10">
        <v>18.705289265266767</v>
      </c>
      <c r="F11" s="10">
        <v>1.7004808422969788</v>
      </c>
      <c r="G11" s="9">
        <v>55.129057663621481</v>
      </c>
      <c r="H11" s="11">
        <v>46010</v>
      </c>
      <c r="I11" s="11">
        <v>46171</v>
      </c>
      <c r="J11" s="9">
        <v>131.22099447513813</v>
      </c>
      <c r="K11" s="9">
        <v>86.329601628380345</v>
      </c>
      <c r="M11" s="6">
        <v>2025</v>
      </c>
      <c r="N11" s="10">
        <v>36.596405153846156</v>
      </c>
      <c r="O11" s="13">
        <v>0</v>
      </c>
      <c r="P11" s="10">
        <v>23.047109000000003</v>
      </c>
      <c r="Q11" s="10">
        <v>21.4094879875</v>
      </c>
      <c r="R11" s="10">
        <v>20.682577000000002</v>
      </c>
      <c r="S11" s="10">
        <v>18.489404958677685</v>
      </c>
      <c r="T11" s="10">
        <v>15.49898717948718</v>
      </c>
      <c r="U11" s="10">
        <v>28.443348421052633</v>
      </c>
      <c r="V11" s="10"/>
    </row>
    <row r="12" spans="1:22" ht="11.25" customHeight="1" x14ac:dyDescent="0.2">
      <c r="A12" s="6" t="s">
        <v>14</v>
      </c>
      <c r="B12" s="6" t="s">
        <v>29</v>
      </c>
      <c r="C12" s="9">
        <v>2022</v>
      </c>
      <c r="D12" s="6" t="s">
        <v>20</v>
      </c>
      <c r="E12" s="10">
        <v>15.9</v>
      </c>
      <c r="F12" s="10">
        <v>1.4454545454545455</v>
      </c>
      <c r="G12" s="9">
        <v>54.827586206896555</v>
      </c>
      <c r="H12" s="11">
        <v>44670</v>
      </c>
      <c r="I12" s="11">
        <v>44818</v>
      </c>
      <c r="J12" s="9">
        <v>137.16216216216216</v>
      </c>
      <c r="K12" s="9">
        <v>98.324130582195096</v>
      </c>
      <c r="M12" s="6">
        <v>2026</v>
      </c>
      <c r="N12" s="10">
        <f>4118*1000/130000</f>
        <v>31.676923076923078</v>
      </c>
      <c r="O12" s="10"/>
      <c r="P12" s="10">
        <f>17+898748/140000</f>
        <v>23.419628571428571</v>
      </c>
      <c r="Q12" s="10">
        <f>11+999199/80000</f>
        <v>23.489987499999998</v>
      </c>
      <c r="R12" s="10">
        <f>4+589464/40000</f>
        <v>18.736599999999999</v>
      </c>
      <c r="S12" s="10">
        <f>23+21913/25000</f>
        <v>23.876519999999999</v>
      </c>
      <c r="T12" s="10">
        <v>18.22</v>
      </c>
      <c r="U12" s="10">
        <f>1511829/38000</f>
        <v>39.784973684210527</v>
      </c>
      <c r="V12" s="10"/>
    </row>
    <row r="13" spans="1:22" ht="11.25" customHeight="1" x14ac:dyDescent="0.2">
      <c r="A13" s="6" t="s">
        <v>11</v>
      </c>
      <c r="B13" s="6" t="s">
        <v>30</v>
      </c>
      <c r="C13" s="9">
        <v>2023</v>
      </c>
      <c r="D13" s="6" t="s">
        <v>20</v>
      </c>
      <c r="E13" s="10">
        <v>23.236433470507542</v>
      </c>
      <c r="F13" s="10">
        <v>1.787417959269811</v>
      </c>
      <c r="G13" s="9">
        <v>54.596883154388024</v>
      </c>
      <c r="H13" s="11">
        <v>44910</v>
      </c>
      <c r="I13" s="11">
        <v>45098</v>
      </c>
      <c r="J13" s="9">
        <v>141.19431279620852</v>
      </c>
      <c r="K13" s="9">
        <v>92.283864572685303</v>
      </c>
      <c r="N13" s="10"/>
      <c r="O13" s="10"/>
    </row>
    <row r="14" spans="1:22" ht="11.25" customHeight="1" x14ac:dyDescent="0.2">
      <c r="A14" s="6" t="s">
        <v>11</v>
      </c>
      <c r="B14" s="6" t="s">
        <v>31</v>
      </c>
      <c r="C14" s="9">
        <v>2024</v>
      </c>
      <c r="D14" s="6" t="s">
        <v>20</v>
      </c>
      <c r="E14" s="10">
        <v>18.84</v>
      </c>
      <c r="F14" s="10">
        <v>1.7821621621621622</v>
      </c>
      <c r="G14" s="9">
        <v>54.356607039815351</v>
      </c>
      <c r="H14" s="11">
        <v>45274</v>
      </c>
      <c r="I14" s="11">
        <v>45432</v>
      </c>
      <c r="J14" s="9">
        <v>116.08612440191388</v>
      </c>
      <c r="K14" s="9">
        <v>84.120380001386877</v>
      </c>
      <c r="N14" s="10"/>
      <c r="O14" s="10"/>
    </row>
    <row r="15" spans="1:22" ht="11.25" customHeight="1" x14ac:dyDescent="0.2">
      <c r="A15" s="6" t="s">
        <v>11</v>
      </c>
      <c r="B15" s="6" t="s">
        <v>32</v>
      </c>
      <c r="C15" s="9">
        <v>2025</v>
      </c>
      <c r="D15" s="6" t="s">
        <v>20</v>
      </c>
      <c r="E15" s="10">
        <v>24.21</v>
      </c>
      <c r="F15" s="10">
        <v>1.2105000000000001</v>
      </c>
      <c r="G15" s="9">
        <v>53.907815631262523</v>
      </c>
      <c r="H15" s="11">
        <v>45776</v>
      </c>
      <c r="I15" s="11">
        <v>45982</v>
      </c>
      <c r="J15" s="9">
        <v>142.24886877828052</v>
      </c>
      <c r="K15" s="9">
        <v>94.832579185520345</v>
      </c>
      <c r="N15" s="10"/>
      <c r="O15" s="10"/>
    </row>
    <row r="16" spans="1:22" ht="11.25" customHeight="1" x14ac:dyDescent="0.2">
      <c r="A16" s="6" t="s">
        <v>11</v>
      </c>
      <c r="B16" s="6" t="s">
        <v>33</v>
      </c>
      <c r="C16" s="9">
        <v>2025</v>
      </c>
      <c r="D16" s="6" t="s">
        <v>20</v>
      </c>
      <c r="E16" s="10">
        <v>22.39</v>
      </c>
      <c r="F16" s="10">
        <v>1.4378899082568808</v>
      </c>
      <c r="G16" s="9">
        <v>53.641590800191665</v>
      </c>
      <c r="H16" s="11">
        <v>45813</v>
      </c>
      <c r="I16" s="11">
        <v>45989</v>
      </c>
      <c r="J16" s="9">
        <v>139.13333333333333</v>
      </c>
      <c r="K16" s="9">
        <v>86.150670794633641</v>
      </c>
      <c r="N16" s="10"/>
      <c r="O16" s="10"/>
    </row>
    <row r="17" spans="1:15" ht="11.25" customHeight="1" x14ac:dyDescent="0.2">
      <c r="A17" s="6" t="s">
        <v>11</v>
      </c>
      <c r="B17" s="6" t="s">
        <v>34</v>
      </c>
      <c r="C17" s="9">
        <v>2024</v>
      </c>
      <c r="D17" s="6" t="s">
        <v>20</v>
      </c>
      <c r="E17" s="10">
        <v>19.190000000000001</v>
      </c>
      <c r="F17" s="10">
        <v>1.7675000000000001</v>
      </c>
      <c r="G17" s="9">
        <v>53.439153439153436</v>
      </c>
      <c r="H17" s="11">
        <v>45278</v>
      </c>
      <c r="I17" s="11">
        <v>45441</v>
      </c>
      <c r="J17" s="9">
        <v>127.59898477157361</v>
      </c>
      <c r="K17" s="9">
        <v>83.398029262466409</v>
      </c>
      <c r="N17" s="10"/>
      <c r="O17" s="10"/>
    </row>
    <row r="18" spans="1:15" ht="11.25" customHeight="1" x14ac:dyDescent="0.2">
      <c r="A18" s="6" t="s">
        <v>11</v>
      </c>
      <c r="B18" s="6" t="s">
        <v>35</v>
      </c>
      <c r="C18" s="9">
        <v>2022</v>
      </c>
      <c r="D18" s="6" t="s">
        <v>20</v>
      </c>
      <c r="E18" s="10">
        <v>19.87</v>
      </c>
      <c r="F18" s="10">
        <v>1.3636274509803923</v>
      </c>
      <c r="G18" s="9">
        <v>53.22796678274846</v>
      </c>
      <c r="H18" s="11">
        <v>44525</v>
      </c>
      <c r="I18" s="11">
        <v>44705</v>
      </c>
      <c r="J18" s="9">
        <v>129.36138613861385</v>
      </c>
      <c r="K18" s="9">
        <v>88.603689136036891</v>
      </c>
      <c r="N18" s="10"/>
      <c r="O18" s="10"/>
    </row>
    <row r="19" spans="1:15" ht="11.25" customHeight="1" x14ac:dyDescent="0.2">
      <c r="A19" s="6" t="s">
        <v>14</v>
      </c>
      <c r="B19" s="6" t="s">
        <v>36</v>
      </c>
      <c r="C19" s="9">
        <v>2024</v>
      </c>
      <c r="D19" s="6" t="s">
        <v>20</v>
      </c>
      <c r="E19" s="10">
        <v>14.69</v>
      </c>
      <c r="F19" s="10">
        <v>1.3354545454545454</v>
      </c>
      <c r="G19" s="9">
        <v>53.051643192488264</v>
      </c>
      <c r="H19" s="11">
        <v>45400</v>
      </c>
      <c r="I19" s="11">
        <v>45541</v>
      </c>
      <c r="J19" s="9">
        <v>95.482758620689651</v>
      </c>
      <c r="K19" s="9">
        <v>60.241488088763191</v>
      </c>
      <c r="N19" s="10"/>
      <c r="O19" s="10"/>
    </row>
    <row r="20" spans="1:15" ht="11.25" customHeight="1" x14ac:dyDescent="0.2">
      <c r="A20" s="6" t="s">
        <v>11</v>
      </c>
      <c r="B20" s="6" t="s">
        <v>37</v>
      </c>
      <c r="C20" s="9">
        <v>2025</v>
      </c>
      <c r="D20" s="6" t="s">
        <v>20</v>
      </c>
      <c r="E20" s="10">
        <v>22.398101051203799</v>
      </c>
      <c r="F20" s="10">
        <v>1.5837041147315818</v>
      </c>
      <c r="G20" s="9">
        <v>52.938078589467736</v>
      </c>
      <c r="H20" s="11">
        <v>45647</v>
      </c>
      <c r="I20" s="11">
        <v>45840</v>
      </c>
      <c r="J20" s="9">
        <v>126.02978723404256</v>
      </c>
      <c r="K20" s="9">
        <v>89.700916180813209</v>
      </c>
      <c r="N20" s="10"/>
      <c r="O20" s="10"/>
    </row>
    <row r="21" spans="1:15" ht="11.25" customHeight="1" x14ac:dyDescent="0.2">
      <c r="A21" s="6" t="s">
        <v>13</v>
      </c>
      <c r="B21" s="6" t="s">
        <v>38</v>
      </c>
      <c r="C21" s="9">
        <v>2022</v>
      </c>
      <c r="D21" s="6" t="s">
        <v>20</v>
      </c>
      <c r="E21" s="10">
        <v>23.29</v>
      </c>
      <c r="F21" s="10">
        <v>2.2961971830985917</v>
      </c>
      <c r="G21" s="9">
        <v>52.573363431151243</v>
      </c>
      <c r="H21" s="11">
        <v>44662</v>
      </c>
      <c r="I21" s="11">
        <v>44797</v>
      </c>
      <c r="J21" s="9">
        <v>218.38028169014086</v>
      </c>
      <c r="K21" s="9">
        <v>181.9835680751174</v>
      </c>
      <c r="N21" s="10"/>
      <c r="O21" s="10"/>
    </row>
    <row r="22" spans="1:15" ht="11.25" customHeight="1" x14ac:dyDescent="0.2">
      <c r="A22" s="6" t="s">
        <v>11</v>
      </c>
      <c r="B22" s="6" t="s">
        <v>39</v>
      </c>
      <c r="C22" s="9">
        <v>2023</v>
      </c>
      <c r="D22" s="6" t="s">
        <v>20</v>
      </c>
      <c r="E22" s="10">
        <v>24.026924725651575</v>
      </c>
      <c r="F22" s="10">
        <v>2.0022437271376314</v>
      </c>
      <c r="G22" s="9">
        <v>52.357648127373231</v>
      </c>
      <c r="H22" s="11">
        <v>44910</v>
      </c>
      <c r="I22" s="11">
        <v>45098</v>
      </c>
      <c r="J22" s="9">
        <v>152.24170616113744</v>
      </c>
      <c r="K22" s="9">
        <v>99.504383111854537</v>
      </c>
      <c r="N22" s="10"/>
      <c r="O22" s="10"/>
    </row>
    <row r="23" spans="1:15" ht="11.25" customHeight="1" x14ac:dyDescent="0.2">
      <c r="A23" s="6" t="s">
        <v>11</v>
      </c>
      <c r="B23" s="6" t="s">
        <v>40</v>
      </c>
      <c r="C23" s="9">
        <v>2025</v>
      </c>
      <c r="D23" s="6" t="s">
        <v>20</v>
      </c>
      <c r="E23" s="10">
        <v>24.03</v>
      </c>
      <c r="F23" s="10">
        <v>1.2015</v>
      </c>
      <c r="G23" s="9">
        <v>52.171081198436823</v>
      </c>
      <c r="H23" s="11">
        <v>45776</v>
      </c>
      <c r="I23" s="11">
        <v>45982</v>
      </c>
      <c r="J23" s="9">
        <v>148.58064516129033</v>
      </c>
      <c r="K23" s="9">
        <v>99.053763440860223</v>
      </c>
      <c r="N23" s="10"/>
      <c r="O23" s="10"/>
    </row>
    <row r="24" spans="1:15" ht="11.25" customHeight="1" x14ac:dyDescent="0.2">
      <c r="A24" s="6" t="s">
        <v>14</v>
      </c>
      <c r="B24" s="6" t="s">
        <v>41</v>
      </c>
      <c r="C24" s="9">
        <v>2023</v>
      </c>
      <c r="D24" s="6" t="s">
        <v>20</v>
      </c>
      <c r="E24" s="10">
        <v>14.32</v>
      </c>
      <c r="F24" s="10">
        <v>1.4527536231884057</v>
      </c>
      <c r="G24" s="9">
        <v>52.167577413479052</v>
      </c>
      <c r="H24" s="11">
        <v>45040</v>
      </c>
      <c r="I24" s="11">
        <v>45167</v>
      </c>
      <c r="J24" s="9">
        <v>124.77272727272727</v>
      </c>
      <c r="K24" s="9">
        <v>103.97727272727272</v>
      </c>
      <c r="N24" s="10"/>
      <c r="O24" s="10"/>
    </row>
    <row r="25" spans="1:15" ht="11.25" customHeight="1" x14ac:dyDescent="0.2">
      <c r="A25" s="6" t="s">
        <v>11</v>
      </c>
      <c r="B25" s="6" t="s">
        <v>42</v>
      </c>
      <c r="C25" s="9">
        <v>2025</v>
      </c>
      <c r="D25" s="6" t="s">
        <v>20</v>
      </c>
      <c r="E25" s="10">
        <v>21.703097893432467</v>
      </c>
      <c r="F25" s="10">
        <v>1.5345624773134068</v>
      </c>
      <c r="G25" s="9">
        <v>51.698661013417023</v>
      </c>
      <c r="H25" s="11">
        <v>45647</v>
      </c>
      <c r="I25" s="11">
        <v>45840</v>
      </c>
      <c r="J25" s="9">
        <v>125.0468085106383</v>
      </c>
      <c r="K25" s="9">
        <v>89.001287196183839</v>
      </c>
      <c r="N25" s="10"/>
      <c r="O25" s="10"/>
    </row>
    <row r="26" spans="1:15" ht="11.25" customHeight="1" x14ac:dyDescent="0.2">
      <c r="A26" s="6" t="s">
        <v>11</v>
      </c>
      <c r="B26" s="6" t="s">
        <v>26</v>
      </c>
      <c r="C26" s="9">
        <v>2024</v>
      </c>
      <c r="D26" s="6" t="s">
        <v>20</v>
      </c>
      <c r="E26" s="10">
        <v>17.32</v>
      </c>
      <c r="F26" s="10">
        <v>1.7076056338028169</v>
      </c>
      <c r="G26" s="9">
        <v>51.562965168204826</v>
      </c>
      <c r="H26" s="11">
        <v>45274</v>
      </c>
      <c r="I26" s="11">
        <v>45441</v>
      </c>
      <c r="J26" s="9">
        <v>123.75263157894737</v>
      </c>
      <c r="K26" s="9">
        <v>80.884072927416582</v>
      </c>
      <c r="N26" s="10"/>
      <c r="O26" s="10"/>
    </row>
    <row r="27" spans="1:15" ht="11.25" customHeight="1" x14ac:dyDescent="0.2">
      <c r="A27" s="6" t="s">
        <v>11</v>
      </c>
      <c r="B27" s="6" t="s">
        <v>19</v>
      </c>
      <c r="C27" s="9">
        <v>2023</v>
      </c>
      <c r="D27" s="6" t="s">
        <v>20</v>
      </c>
      <c r="E27" s="10">
        <v>31.293906171348041</v>
      </c>
      <c r="F27" s="10">
        <v>1.1590335619017793</v>
      </c>
      <c r="G27" s="9">
        <v>49.586287706144887</v>
      </c>
      <c r="H27" s="11">
        <v>44965</v>
      </c>
      <c r="I27" s="11">
        <v>45239</v>
      </c>
      <c r="J27" s="9">
        <v>148.24496644295303</v>
      </c>
      <c r="K27" s="9">
        <v>101.53764824859796</v>
      </c>
      <c r="N27" s="10"/>
      <c r="O27" s="10"/>
    </row>
    <row r="28" spans="1:15" ht="11.25" customHeight="1" x14ac:dyDescent="0.2">
      <c r="A28" s="6" t="s">
        <v>14</v>
      </c>
      <c r="B28" s="6" t="s">
        <v>43</v>
      </c>
      <c r="C28" s="9">
        <v>2024</v>
      </c>
      <c r="D28" s="6" t="s">
        <v>20</v>
      </c>
      <c r="E28" s="10">
        <v>12.74</v>
      </c>
      <c r="F28" s="10">
        <v>1.1581818181818182</v>
      </c>
      <c r="G28" s="9">
        <v>49.552703228315828</v>
      </c>
      <c r="H28" s="11">
        <v>45400</v>
      </c>
      <c r="I28" s="11">
        <v>45541</v>
      </c>
      <c r="J28" s="9">
        <v>97.809782608695656</v>
      </c>
      <c r="K28" s="9">
        <v>61.709642024413661</v>
      </c>
      <c r="N28" s="10"/>
      <c r="O28" s="10"/>
    </row>
    <row r="29" spans="1:15" ht="11.25" customHeight="1" x14ac:dyDescent="0.2">
      <c r="A29" s="6" t="s">
        <v>11</v>
      </c>
      <c r="B29" s="6" t="s">
        <v>44</v>
      </c>
      <c r="C29" s="9">
        <v>2024</v>
      </c>
      <c r="D29" s="6" t="s">
        <v>20</v>
      </c>
      <c r="E29" s="10">
        <v>17.54</v>
      </c>
      <c r="F29" s="10">
        <v>1.6155263157894735</v>
      </c>
      <c r="G29" s="9">
        <v>49.534029935046597</v>
      </c>
      <c r="H29" s="11">
        <v>45274</v>
      </c>
      <c r="I29" s="11">
        <v>45441</v>
      </c>
      <c r="J29" s="9">
        <v>130.45789473684212</v>
      </c>
      <c r="K29" s="9">
        <v>85.266597867217072</v>
      </c>
      <c r="N29" s="10"/>
      <c r="O29" s="10"/>
    </row>
    <row r="30" spans="1:15" ht="11.25" customHeight="1" x14ac:dyDescent="0.2">
      <c r="A30" s="6" t="s">
        <v>11</v>
      </c>
      <c r="B30" s="6" t="s">
        <v>45</v>
      </c>
      <c r="C30" s="9">
        <v>2025</v>
      </c>
      <c r="D30" s="6" t="s">
        <v>20</v>
      </c>
      <c r="E30" s="10">
        <v>21.09</v>
      </c>
      <c r="F30" s="10">
        <v>1.3420909090909092</v>
      </c>
      <c r="G30" s="9">
        <v>48.864689527340133</v>
      </c>
      <c r="H30" s="11">
        <v>45814</v>
      </c>
      <c r="I30" s="11">
        <v>45990</v>
      </c>
      <c r="J30" s="9">
        <v>139.2258064516129</v>
      </c>
      <c r="K30" s="9">
        <v>86.207929691401176</v>
      </c>
      <c r="N30" s="10"/>
      <c r="O30" s="10"/>
    </row>
    <row r="31" spans="1:15" ht="11.25" customHeight="1" x14ac:dyDescent="0.2">
      <c r="A31" s="6" t="s">
        <v>14</v>
      </c>
      <c r="B31" s="6" t="s">
        <v>46</v>
      </c>
      <c r="C31" s="9">
        <v>2023</v>
      </c>
      <c r="D31" s="6" t="s">
        <v>20</v>
      </c>
      <c r="E31" s="10">
        <v>8.59</v>
      </c>
      <c r="F31" s="10">
        <v>0.62635416666666666</v>
      </c>
      <c r="G31" s="9">
        <v>48.531073446327682</v>
      </c>
      <c r="H31" s="11">
        <v>45182</v>
      </c>
      <c r="I31" s="11">
        <v>45355</v>
      </c>
      <c r="J31" s="9">
        <v>71.206896551724142</v>
      </c>
      <c r="K31" s="9">
        <v>118.67816091954025</v>
      </c>
      <c r="N31" s="10"/>
      <c r="O31" s="10"/>
    </row>
    <row r="32" spans="1:15" ht="11.25" customHeight="1" x14ac:dyDescent="0.2">
      <c r="A32" s="6" t="s">
        <v>11</v>
      </c>
      <c r="B32" s="6" t="s">
        <v>47</v>
      </c>
      <c r="C32" s="9">
        <v>2025</v>
      </c>
      <c r="D32" s="6" t="s">
        <v>20</v>
      </c>
      <c r="E32" s="10">
        <v>21.92</v>
      </c>
      <c r="F32" s="10">
        <v>2.1019178082191781</v>
      </c>
      <c r="G32" s="9">
        <v>48.463409241653778</v>
      </c>
      <c r="H32" s="11">
        <v>45649</v>
      </c>
      <c r="I32" s="11">
        <v>45820</v>
      </c>
      <c r="J32" s="9">
        <v>157.51741293532336</v>
      </c>
      <c r="K32" s="9">
        <v>112.11203767638673</v>
      </c>
      <c r="N32" s="10"/>
      <c r="O32" s="10"/>
    </row>
    <row r="33" spans="1:15" ht="11.25" customHeight="1" x14ac:dyDescent="0.2">
      <c r="A33" s="6" t="s">
        <v>11</v>
      </c>
      <c r="B33" s="6" t="s">
        <v>48</v>
      </c>
      <c r="C33" s="9">
        <v>2025</v>
      </c>
      <c r="D33" s="6" t="s">
        <v>20</v>
      </c>
      <c r="E33" s="10">
        <v>15.82</v>
      </c>
      <c r="F33" s="10">
        <v>1.677878787878788</v>
      </c>
      <c r="G33" s="9">
        <v>48.231707317073173</v>
      </c>
      <c r="H33" s="11">
        <v>45646</v>
      </c>
      <c r="I33" s="11">
        <v>45811</v>
      </c>
      <c r="J33" s="9">
        <v>115.37688442211056</v>
      </c>
      <c r="K33" s="9">
        <v>76.917922948073709</v>
      </c>
      <c r="N33" s="10"/>
      <c r="O33" s="10"/>
    </row>
    <row r="34" spans="1:15" ht="11.25" customHeight="1" x14ac:dyDescent="0.2">
      <c r="A34" s="6" t="s">
        <v>11</v>
      </c>
      <c r="B34" s="6" t="s">
        <v>49</v>
      </c>
      <c r="C34" s="9">
        <v>2020</v>
      </c>
      <c r="D34" s="6" t="s">
        <v>20</v>
      </c>
      <c r="E34" s="10">
        <v>23.58</v>
      </c>
      <c r="F34" s="10">
        <v>1.7193749999999999</v>
      </c>
      <c r="G34" s="9">
        <v>47.669087340529927</v>
      </c>
      <c r="H34" s="11">
        <v>43893</v>
      </c>
      <c r="I34" s="11">
        <v>44062</v>
      </c>
      <c r="J34" s="9">
        <v>130.17373530914665</v>
      </c>
      <c r="K34" s="9">
        <v>89.160092677497701</v>
      </c>
      <c r="N34" s="10"/>
      <c r="O34" s="10"/>
    </row>
    <row r="35" spans="1:15" ht="11.25" customHeight="1" x14ac:dyDescent="0.2">
      <c r="A35" s="6" t="s">
        <v>11</v>
      </c>
      <c r="B35" s="6" t="s">
        <v>50</v>
      </c>
      <c r="C35" s="9">
        <v>2025</v>
      </c>
      <c r="D35" s="6" t="s">
        <v>20</v>
      </c>
      <c r="E35" s="10">
        <v>15.68</v>
      </c>
      <c r="F35" s="10">
        <v>1.8603389830508474</v>
      </c>
      <c r="G35" s="9">
        <v>47.659574468085104</v>
      </c>
      <c r="H35" s="11">
        <v>45648</v>
      </c>
      <c r="I35" s="11">
        <v>45803</v>
      </c>
      <c r="J35" s="9">
        <v>114.57711442786069</v>
      </c>
      <c r="K35" s="9">
        <v>81.54954763548804</v>
      </c>
      <c r="N35" s="10"/>
      <c r="O35" s="10"/>
    </row>
    <row r="36" spans="1:15" ht="11.25" customHeight="1" x14ac:dyDescent="0.2">
      <c r="A36" s="6" t="s">
        <v>11</v>
      </c>
      <c r="B36" s="6" t="s">
        <v>51</v>
      </c>
      <c r="C36" s="9">
        <v>2025</v>
      </c>
      <c r="D36" s="6" t="s">
        <v>20</v>
      </c>
      <c r="E36" s="10">
        <v>22.71642874425357</v>
      </c>
      <c r="F36" s="10">
        <v>1.7284239261932064</v>
      </c>
      <c r="G36" s="9">
        <v>47.149084151626333</v>
      </c>
      <c r="H36" s="11">
        <v>45646</v>
      </c>
      <c r="I36" s="11">
        <v>45840</v>
      </c>
      <c r="J36" s="9">
        <v>148.57268722466961</v>
      </c>
      <c r="K36" s="9">
        <v>105.74568485741609</v>
      </c>
    </row>
    <row r="37" spans="1:15" ht="11.25" customHeight="1" x14ac:dyDescent="0.2">
      <c r="A37" s="6" t="s">
        <v>11</v>
      </c>
      <c r="B37" s="6" t="s">
        <v>40</v>
      </c>
      <c r="C37" s="9">
        <v>2026</v>
      </c>
      <c r="D37" s="6" t="s">
        <v>20</v>
      </c>
      <c r="E37" s="10">
        <v>16.264409385458954</v>
      </c>
      <c r="F37" s="10">
        <v>1.4785826714053594</v>
      </c>
      <c r="G37" s="9">
        <v>46.925589686840603</v>
      </c>
      <c r="H37" s="11">
        <v>46010</v>
      </c>
      <c r="I37" s="11">
        <v>46171</v>
      </c>
      <c r="J37" s="9">
        <v>134.04419889502762</v>
      </c>
      <c r="K37" s="9">
        <v>88.186972957255009</v>
      </c>
      <c r="N37" s="10"/>
      <c r="O37" s="10"/>
    </row>
    <row r="38" spans="1:15" x14ac:dyDescent="0.2">
      <c r="A38" s="6" t="s">
        <v>11</v>
      </c>
      <c r="B38" s="6" t="s">
        <v>52</v>
      </c>
      <c r="C38" s="9">
        <v>2020</v>
      </c>
      <c r="D38" s="6" t="s">
        <v>20</v>
      </c>
      <c r="E38" s="10">
        <v>18.170000000000002</v>
      </c>
      <c r="F38" s="10">
        <v>1.0094444444444446</v>
      </c>
      <c r="G38" s="9">
        <v>46.776055986003506</v>
      </c>
      <c r="H38" s="11">
        <v>43985</v>
      </c>
      <c r="I38" s="11">
        <v>44160</v>
      </c>
      <c r="J38" s="9">
        <v>139.44236992780682</v>
      </c>
      <c r="K38" s="9">
        <v>95.50847255329235</v>
      </c>
      <c r="N38" s="10"/>
      <c r="O38" s="10"/>
    </row>
    <row r="39" spans="1:15" x14ac:dyDescent="0.2">
      <c r="A39" s="6" t="s">
        <v>11</v>
      </c>
      <c r="B39" s="6" t="s">
        <v>53</v>
      </c>
      <c r="C39" s="9">
        <v>2023</v>
      </c>
      <c r="D39" s="6" t="s">
        <v>20</v>
      </c>
      <c r="E39" s="10">
        <v>13.839831961591223</v>
      </c>
      <c r="F39" s="10">
        <v>0.85733472328441207</v>
      </c>
      <c r="G39" s="9">
        <v>46.056013183331849</v>
      </c>
      <c r="H39" s="11">
        <v>45076</v>
      </c>
      <c r="I39" s="11">
        <v>45246</v>
      </c>
      <c r="J39" s="9">
        <v>116.8611111111111</v>
      </c>
      <c r="K39" s="9">
        <v>76.379811183732741</v>
      </c>
      <c r="N39" s="10"/>
      <c r="O39" s="10"/>
    </row>
    <row r="40" spans="1:15" x14ac:dyDescent="0.2">
      <c r="A40" s="6" t="s">
        <v>11</v>
      </c>
      <c r="B40" s="6" t="s">
        <v>54</v>
      </c>
      <c r="C40" s="9">
        <v>2023</v>
      </c>
      <c r="D40" s="6" t="s">
        <v>20</v>
      </c>
      <c r="E40" s="10">
        <v>25.40426759410802</v>
      </c>
      <c r="F40" s="10">
        <v>1.1045333736568705</v>
      </c>
      <c r="G40" s="9">
        <v>45.939001074336382</v>
      </c>
      <c r="H40" s="11">
        <v>45030</v>
      </c>
      <c r="I40" s="11">
        <v>45257</v>
      </c>
      <c r="J40" s="9">
        <v>157.35772357723576</v>
      </c>
      <c r="K40" s="9">
        <v>112.39837398373983</v>
      </c>
      <c r="N40" s="10"/>
      <c r="O40" s="10"/>
    </row>
    <row r="41" spans="1:15" x14ac:dyDescent="0.2">
      <c r="A41" s="6" t="s">
        <v>11</v>
      </c>
      <c r="B41" s="6" t="s">
        <v>55</v>
      </c>
      <c r="C41" s="9">
        <v>2022</v>
      </c>
      <c r="D41" s="6" t="s">
        <v>20</v>
      </c>
      <c r="E41" s="10">
        <v>27.118457666364645</v>
      </c>
      <c r="F41" s="10">
        <v>1.1574951442960519</v>
      </c>
      <c r="G41" s="9">
        <v>45.653969135294012</v>
      </c>
      <c r="H41" s="11">
        <v>44713</v>
      </c>
      <c r="I41" s="11">
        <v>44935</v>
      </c>
      <c r="J41" s="9">
        <v>177.69230769230768</v>
      </c>
      <c r="K41" s="9">
        <v>108.68031051517289</v>
      </c>
      <c r="N41" s="10"/>
      <c r="O41" s="10"/>
    </row>
    <row r="42" spans="1:15" x14ac:dyDescent="0.2">
      <c r="A42" s="6" t="s">
        <v>11</v>
      </c>
      <c r="B42" s="6" t="s">
        <v>24</v>
      </c>
      <c r="C42" s="9">
        <v>2024</v>
      </c>
      <c r="D42" s="6" t="s">
        <v>20</v>
      </c>
      <c r="E42" s="10">
        <v>22.38</v>
      </c>
      <c r="F42" s="10">
        <v>1.2633870967741934</v>
      </c>
      <c r="G42" s="9">
        <v>45.212121212121211</v>
      </c>
      <c r="H42" s="11">
        <v>45413</v>
      </c>
      <c r="I42" s="11">
        <v>45600</v>
      </c>
      <c r="J42" s="9">
        <v>175.88832487309645</v>
      </c>
      <c r="K42" s="9">
        <v>114.95968945954016</v>
      </c>
      <c r="N42" s="10"/>
      <c r="O42" s="10"/>
    </row>
    <row r="43" spans="1:15" x14ac:dyDescent="0.2">
      <c r="A43" s="6" t="s">
        <v>11</v>
      </c>
      <c r="B43" s="6" t="s">
        <v>56</v>
      </c>
      <c r="C43" s="9">
        <v>2025</v>
      </c>
      <c r="D43" s="6" t="s">
        <v>20</v>
      </c>
      <c r="E43" s="10">
        <v>18.93</v>
      </c>
      <c r="F43" s="10">
        <v>1.8663380281690141</v>
      </c>
      <c r="G43" s="9">
        <v>45.092901381610289</v>
      </c>
      <c r="H43" s="11">
        <v>45649</v>
      </c>
      <c r="I43" s="11">
        <v>45818</v>
      </c>
      <c r="J43" s="9">
        <v>146.19900497512438</v>
      </c>
      <c r="K43" s="9">
        <v>104.05623129902091</v>
      </c>
      <c r="N43" s="10"/>
      <c r="O43" s="10"/>
    </row>
    <row r="44" spans="1:15" x14ac:dyDescent="0.2">
      <c r="A44" s="6" t="s">
        <v>11</v>
      </c>
      <c r="B44" s="6" t="s">
        <v>34</v>
      </c>
      <c r="C44" s="9">
        <v>2024</v>
      </c>
      <c r="D44" s="6" t="s">
        <v>20</v>
      </c>
      <c r="E44" s="10">
        <v>22.79</v>
      </c>
      <c r="F44" s="10">
        <v>1.266111111111111</v>
      </c>
      <c r="G44" s="9">
        <v>44.977304124728633</v>
      </c>
      <c r="H44" s="11">
        <v>45413</v>
      </c>
      <c r="I44" s="11">
        <v>45603</v>
      </c>
      <c r="J44" s="9">
        <v>177.345</v>
      </c>
      <c r="K44" s="9">
        <v>115.91176470588235</v>
      </c>
      <c r="N44" s="10"/>
      <c r="O44" s="10"/>
    </row>
    <row r="45" spans="1:15" x14ac:dyDescent="0.2">
      <c r="A45" s="6" t="s">
        <v>11</v>
      </c>
      <c r="B45" s="6" t="s">
        <v>57</v>
      </c>
      <c r="C45" s="9">
        <v>2025</v>
      </c>
      <c r="D45" s="6" t="s">
        <v>20</v>
      </c>
      <c r="E45" s="10">
        <v>20.27</v>
      </c>
      <c r="F45" s="10">
        <v>1.3385849056603774</v>
      </c>
      <c r="G45" s="9">
        <v>44.934604300598536</v>
      </c>
      <c r="H45" s="11">
        <v>45826</v>
      </c>
      <c r="I45" s="11">
        <v>45994</v>
      </c>
      <c r="J45" s="9">
        <v>181.47701149425288</v>
      </c>
      <c r="K45" s="9">
        <v>129.16513273612304</v>
      </c>
      <c r="N45" s="10"/>
      <c r="O45" s="10"/>
    </row>
    <row r="46" spans="1:15" x14ac:dyDescent="0.2">
      <c r="A46" s="6" t="s">
        <v>11</v>
      </c>
      <c r="B46" s="6" t="s">
        <v>58</v>
      </c>
      <c r="C46" s="9">
        <v>2022</v>
      </c>
      <c r="D46" s="6" t="s">
        <v>20</v>
      </c>
      <c r="E46" s="10">
        <v>17.3886316872428</v>
      </c>
      <c r="F46" s="10">
        <v>1.1065492891881783</v>
      </c>
      <c r="G46" s="9">
        <v>44.723846932208843</v>
      </c>
      <c r="H46" s="11">
        <v>44739</v>
      </c>
      <c r="I46" s="11">
        <v>44902</v>
      </c>
      <c r="J46" s="9">
        <v>162</v>
      </c>
      <c r="K46" s="9">
        <v>105.88235294117646</v>
      </c>
      <c r="N46" s="10"/>
      <c r="O46" s="10"/>
    </row>
    <row r="47" spans="1:15" x14ac:dyDescent="0.2">
      <c r="A47" s="6" t="s">
        <v>11</v>
      </c>
      <c r="B47" s="6" t="s">
        <v>56</v>
      </c>
      <c r="C47" s="9">
        <v>2023</v>
      </c>
      <c r="D47" s="6" t="s">
        <v>20</v>
      </c>
      <c r="E47" s="10">
        <v>29.460622377622386</v>
      </c>
      <c r="F47" s="10">
        <v>1.2348763870859683</v>
      </c>
      <c r="G47" s="9">
        <v>44.448736236605889</v>
      </c>
      <c r="H47" s="11">
        <v>45030</v>
      </c>
      <c r="I47" s="11">
        <v>45258</v>
      </c>
      <c r="J47" s="9">
        <v>188.60162601626016</v>
      </c>
      <c r="K47" s="9">
        <v>134.71544715447155</v>
      </c>
      <c r="N47" s="10"/>
      <c r="O47" s="10"/>
    </row>
    <row r="48" spans="1:15" x14ac:dyDescent="0.2">
      <c r="A48" s="6" t="s">
        <v>11</v>
      </c>
      <c r="B48" s="6" t="s">
        <v>59</v>
      </c>
      <c r="C48" s="9">
        <v>2025</v>
      </c>
      <c r="D48" s="6" t="s">
        <v>20</v>
      </c>
      <c r="E48" s="10">
        <v>13.76</v>
      </c>
      <c r="F48" s="10">
        <v>1.3959420289855071</v>
      </c>
      <c r="G48" s="9">
        <v>44.244372990353696</v>
      </c>
      <c r="H48" s="11">
        <v>45644</v>
      </c>
      <c r="I48" s="11">
        <v>45812</v>
      </c>
      <c r="J48" s="9">
        <v>108.85</v>
      </c>
      <c r="K48" s="9">
        <v>72.566666666666663</v>
      </c>
      <c r="N48" s="10"/>
      <c r="O48" s="10"/>
    </row>
    <row r="49" spans="1:15" x14ac:dyDescent="0.2">
      <c r="A49" s="6" t="s">
        <v>11</v>
      </c>
      <c r="B49" s="6" t="s">
        <v>60</v>
      </c>
      <c r="C49" s="9">
        <v>2025</v>
      </c>
      <c r="D49" s="6" t="s">
        <v>20</v>
      </c>
      <c r="E49" s="10">
        <v>19.760000000000002</v>
      </c>
      <c r="F49" s="10">
        <v>1.2927102803738317</v>
      </c>
      <c r="G49" s="9">
        <v>44.067796610169495</v>
      </c>
      <c r="H49" s="11">
        <v>45827</v>
      </c>
      <c r="I49" s="11">
        <v>45995</v>
      </c>
      <c r="J49" s="9">
        <v>181.43352601156067</v>
      </c>
      <c r="K49" s="9">
        <v>129.13418221463394</v>
      </c>
      <c r="N49" s="10"/>
      <c r="O49" s="10"/>
    </row>
    <row r="50" spans="1:15" x14ac:dyDescent="0.2">
      <c r="A50" s="6" t="s">
        <v>16</v>
      </c>
      <c r="B50" s="6" t="s">
        <v>383</v>
      </c>
      <c r="C50" s="9">
        <v>2026</v>
      </c>
      <c r="D50" s="6" t="s">
        <v>20</v>
      </c>
      <c r="E50" s="10">
        <v>26.09</v>
      </c>
      <c r="F50" s="10">
        <v>1.4048461538461536</v>
      </c>
      <c r="G50" s="9">
        <v>43.95956192080876</v>
      </c>
      <c r="H50" s="11">
        <v>46066</v>
      </c>
      <c r="I50" s="11">
        <v>46265</v>
      </c>
      <c r="J50" s="9">
        <v>132.73162939297126</v>
      </c>
      <c r="K50" s="9">
        <v>102.10125337920866</v>
      </c>
      <c r="N50" s="10"/>
      <c r="O50" s="10"/>
    </row>
    <row r="51" spans="1:15" x14ac:dyDescent="0.2">
      <c r="A51" s="6" t="s">
        <v>13</v>
      </c>
      <c r="B51" s="6" t="s">
        <v>61</v>
      </c>
      <c r="C51" s="9">
        <v>2026</v>
      </c>
      <c r="D51" s="6" t="s">
        <v>20</v>
      </c>
      <c r="E51" s="10">
        <v>14.96</v>
      </c>
      <c r="F51" s="10">
        <v>1.2616867469879518</v>
      </c>
      <c r="G51" s="9">
        <v>43.425253991291726</v>
      </c>
      <c r="H51" s="11">
        <v>46121</v>
      </c>
      <c r="I51" s="11">
        <v>46265</v>
      </c>
      <c r="J51" s="9">
        <v>150.71875</v>
      </c>
      <c r="K51" s="9">
        <v>115.9375</v>
      </c>
      <c r="N51" s="10"/>
      <c r="O51" s="10"/>
    </row>
    <row r="52" spans="1:15" x14ac:dyDescent="0.2">
      <c r="A52" s="6" t="s">
        <v>11</v>
      </c>
      <c r="B52" s="6" t="s">
        <v>62</v>
      </c>
      <c r="C52" s="9">
        <v>2021</v>
      </c>
      <c r="D52" s="6" t="s">
        <v>20</v>
      </c>
      <c r="E52" s="10">
        <v>18.18</v>
      </c>
      <c r="F52" s="10">
        <v>1.0605</v>
      </c>
      <c r="G52" s="9">
        <v>41.18713185319438</v>
      </c>
      <c r="H52" s="11">
        <v>44300</v>
      </c>
      <c r="I52" s="11">
        <v>44471</v>
      </c>
      <c r="J52" s="9">
        <v>158.45128205128205</v>
      </c>
      <c r="K52" s="9">
        <v>126.76102564102564</v>
      </c>
      <c r="N52" s="10"/>
      <c r="O52" s="10"/>
    </row>
    <row r="53" spans="1:15" x14ac:dyDescent="0.2">
      <c r="A53" s="6" t="s">
        <v>12</v>
      </c>
      <c r="B53" s="6" t="s">
        <v>63</v>
      </c>
      <c r="C53" s="9">
        <v>2022</v>
      </c>
      <c r="D53" s="6" t="s">
        <v>20</v>
      </c>
      <c r="E53" s="10">
        <v>12.83</v>
      </c>
      <c r="F53" s="10">
        <v>1.2649295774647888</v>
      </c>
      <c r="G53" s="9">
        <v>41.029740965781897</v>
      </c>
      <c r="H53" s="11">
        <v>44610</v>
      </c>
      <c r="I53" s="11">
        <v>44754</v>
      </c>
      <c r="J53" s="9">
        <v>148.9047619047619</v>
      </c>
      <c r="K53" s="9" t="s">
        <v>390</v>
      </c>
      <c r="N53" s="10"/>
      <c r="O53" s="10"/>
    </row>
    <row r="54" spans="1:15" x14ac:dyDescent="0.2">
      <c r="A54" s="6" t="s">
        <v>12</v>
      </c>
      <c r="B54" s="6" t="s">
        <v>64</v>
      </c>
      <c r="C54" s="9">
        <v>2021</v>
      </c>
      <c r="D54" s="6" t="s">
        <v>20</v>
      </c>
      <c r="E54" s="10">
        <v>13</v>
      </c>
      <c r="F54" s="10">
        <v>0.83486238532110091</v>
      </c>
      <c r="G54" s="9">
        <v>41.019298002044657</v>
      </c>
      <c r="H54" s="11">
        <v>44398</v>
      </c>
      <c r="I54" s="11">
        <v>44567</v>
      </c>
      <c r="J54" s="9">
        <v>131.27029585798815</v>
      </c>
      <c r="K54" s="9" t="s">
        <v>390</v>
      </c>
      <c r="N54" s="10"/>
      <c r="O54" s="10"/>
    </row>
    <row r="55" spans="1:15" x14ac:dyDescent="0.2">
      <c r="A55" s="6" t="s">
        <v>16</v>
      </c>
      <c r="B55" s="6" t="s">
        <v>384</v>
      </c>
      <c r="C55" s="9">
        <v>2026</v>
      </c>
      <c r="D55" s="6" t="s">
        <v>20</v>
      </c>
      <c r="E55" s="10">
        <v>20.92</v>
      </c>
      <c r="F55" s="10">
        <v>1.8079012345679015</v>
      </c>
      <c r="G55" s="9">
        <v>40.37830534645822</v>
      </c>
      <c r="H55" s="11">
        <v>46093</v>
      </c>
      <c r="I55" s="11">
        <v>46248</v>
      </c>
      <c r="J55" s="9">
        <v>126.36585365853658</v>
      </c>
      <c r="K55" s="9">
        <v>87.148864592094199</v>
      </c>
      <c r="N55" s="10"/>
      <c r="O55" s="10"/>
    </row>
    <row r="56" spans="1:15" x14ac:dyDescent="0.2">
      <c r="A56" s="6" t="s">
        <v>11</v>
      </c>
      <c r="B56" s="6" t="s">
        <v>32</v>
      </c>
      <c r="C56" s="9">
        <v>2024</v>
      </c>
      <c r="D56" s="6" t="s">
        <v>20</v>
      </c>
      <c r="E56" s="10">
        <v>19.59</v>
      </c>
      <c r="F56" s="10">
        <v>1.079763779527559</v>
      </c>
      <c r="G56" s="9">
        <v>40.308641975308639</v>
      </c>
      <c r="H56" s="11">
        <v>45416</v>
      </c>
      <c r="I56" s="11">
        <v>45603</v>
      </c>
      <c r="J56" s="9">
        <v>166.76470588235296</v>
      </c>
      <c r="K56" s="9">
        <v>108.99653979238755</v>
      </c>
      <c r="N56" s="10"/>
      <c r="O56" s="10"/>
    </row>
    <row r="57" spans="1:15" x14ac:dyDescent="0.2">
      <c r="A57" s="6" t="s">
        <v>11</v>
      </c>
      <c r="B57" s="6" t="s">
        <v>65</v>
      </c>
      <c r="C57" s="9">
        <v>2022</v>
      </c>
      <c r="D57" s="6" t="s">
        <v>20</v>
      </c>
      <c r="E57" s="10">
        <v>14.895233196159122</v>
      </c>
      <c r="F57" s="10">
        <v>0.95657460892765001</v>
      </c>
      <c r="G57" s="9">
        <v>40.051716042374629</v>
      </c>
      <c r="H57" s="11">
        <v>44741</v>
      </c>
      <c r="I57" s="11">
        <v>44901</v>
      </c>
      <c r="J57" s="9">
        <v>154.95833333333334</v>
      </c>
      <c r="K57" s="9">
        <v>101.27995642701525</v>
      </c>
      <c r="N57" s="10"/>
      <c r="O57" s="10"/>
    </row>
    <row r="58" spans="1:15" x14ac:dyDescent="0.2">
      <c r="A58" s="6" t="s">
        <v>13</v>
      </c>
      <c r="B58" s="6" t="s">
        <v>66</v>
      </c>
      <c r="C58" s="9">
        <v>2025</v>
      </c>
      <c r="D58" s="6" t="s">
        <v>20</v>
      </c>
      <c r="E58" s="10">
        <v>13.1</v>
      </c>
      <c r="F58" s="10">
        <v>1.0916666666666666</v>
      </c>
      <c r="G58" s="9">
        <v>39.93496595874403</v>
      </c>
      <c r="H58" s="11">
        <v>45646</v>
      </c>
      <c r="I58" s="11">
        <v>45826</v>
      </c>
      <c r="J58" s="9">
        <v>124.79528985507247</v>
      </c>
      <c r="K58" s="9">
        <v>83.19685990338165</v>
      </c>
      <c r="N58" s="10"/>
      <c r="O58" s="10"/>
    </row>
    <row r="59" spans="1:15" x14ac:dyDescent="0.2">
      <c r="A59" s="6" t="s">
        <v>16</v>
      </c>
      <c r="B59" s="6" t="s">
        <v>385</v>
      </c>
      <c r="C59" s="9">
        <v>2026</v>
      </c>
      <c r="D59" s="6" t="s">
        <v>20</v>
      </c>
      <c r="E59" s="10">
        <v>21.9</v>
      </c>
      <c r="F59" s="10">
        <v>1.8469879518072287</v>
      </c>
      <c r="G59" s="9">
        <v>39.81818181818182</v>
      </c>
      <c r="H59" s="11">
        <v>46094</v>
      </c>
      <c r="I59" s="11">
        <v>46251</v>
      </c>
      <c r="J59" s="9">
        <v>193.4673366834171</v>
      </c>
      <c r="K59" s="9">
        <v>133.4257494368394</v>
      </c>
      <c r="N59" s="10"/>
      <c r="O59" s="10"/>
    </row>
    <row r="60" spans="1:15" x14ac:dyDescent="0.2">
      <c r="A60" s="6" t="s">
        <v>11</v>
      </c>
      <c r="B60" s="6" t="s">
        <v>67</v>
      </c>
      <c r="C60" s="9">
        <v>2022</v>
      </c>
      <c r="D60" s="6" t="s">
        <v>20</v>
      </c>
      <c r="E60" s="10">
        <v>28.418351815612091</v>
      </c>
      <c r="F60" s="10">
        <v>0.98479436984794377</v>
      </c>
      <c r="G60" s="9">
        <v>39.684892913855734</v>
      </c>
      <c r="H60" s="11">
        <v>44685</v>
      </c>
      <c r="I60" s="11">
        <v>44942</v>
      </c>
      <c r="J60" s="9">
        <v>188.44736842105263</v>
      </c>
      <c r="K60" s="9">
        <v>150.7578947368421</v>
      </c>
      <c r="N60" s="10"/>
      <c r="O60" s="10"/>
    </row>
    <row r="61" spans="1:15" x14ac:dyDescent="0.2">
      <c r="A61" s="6" t="s">
        <v>13</v>
      </c>
      <c r="B61" s="6" t="s">
        <v>68</v>
      </c>
      <c r="C61" s="9">
        <v>2023</v>
      </c>
      <c r="D61" s="6" t="s">
        <v>20</v>
      </c>
      <c r="E61" s="10">
        <v>13.95</v>
      </c>
      <c r="F61" s="10">
        <v>1.457462686567164</v>
      </c>
      <c r="G61" s="9">
        <v>39.507221750212402</v>
      </c>
      <c r="H61" s="11">
        <v>44907</v>
      </c>
      <c r="I61" s="11">
        <v>45065</v>
      </c>
      <c r="J61" s="9">
        <v>137.31666666666666</v>
      </c>
      <c r="K61" s="9">
        <v>117.86838340486409</v>
      </c>
      <c r="N61" s="10"/>
      <c r="O61" s="10"/>
    </row>
    <row r="62" spans="1:15" x14ac:dyDescent="0.2">
      <c r="A62" s="6" t="s">
        <v>11</v>
      </c>
      <c r="B62" s="6" t="s">
        <v>40</v>
      </c>
      <c r="C62" s="9">
        <v>2024</v>
      </c>
      <c r="D62" s="6" t="s">
        <v>20</v>
      </c>
      <c r="E62" s="10">
        <v>18.170000000000002</v>
      </c>
      <c r="F62" s="10">
        <v>1.025725806451613</v>
      </c>
      <c r="G62" s="9">
        <v>39.303482587064686</v>
      </c>
      <c r="H62" s="11">
        <v>45416</v>
      </c>
      <c r="I62" s="11">
        <v>45600</v>
      </c>
      <c r="J62" s="9">
        <v>161</v>
      </c>
      <c r="K62" s="9">
        <v>105.22875816993464</v>
      </c>
      <c r="N62" s="10"/>
      <c r="O62" s="10"/>
    </row>
    <row r="63" spans="1:15" x14ac:dyDescent="0.2">
      <c r="A63" s="6" t="s">
        <v>13</v>
      </c>
      <c r="B63" s="6" t="s">
        <v>69</v>
      </c>
      <c r="C63" s="9">
        <v>2023</v>
      </c>
      <c r="D63" s="6" t="s">
        <v>20</v>
      </c>
      <c r="E63" s="10">
        <v>13.9</v>
      </c>
      <c r="F63" s="10">
        <v>1.3900000000000001</v>
      </c>
      <c r="G63" s="9">
        <v>39.265536723163841</v>
      </c>
      <c r="H63" s="11">
        <v>44907</v>
      </c>
      <c r="I63" s="11">
        <v>45068</v>
      </c>
      <c r="J63" s="9">
        <v>137.66666666666666</v>
      </c>
      <c r="K63" s="9">
        <v>118.16881258941343</v>
      </c>
      <c r="N63" s="10"/>
      <c r="O63" s="10"/>
    </row>
    <row r="64" spans="1:15" x14ac:dyDescent="0.2">
      <c r="A64" s="6" t="s">
        <v>17</v>
      </c>
      <c r="B64" s="6" t="s">
        <v>70</v>
      </c>
      <c r="C64" s="9">
        <v>2024</v>
      </c>
      <c r="D64" s="6" t="s">
        <v>20</v>
      </c>
      <c r="E64" s="10">
        <v>22.59</v>
      </c>
      <c r="F64" s="10">
        <v>1.506</v>
      </c>
      <c r="G64" s="9">
        <v>38.968431947559083</v>
      </c>
      <c r="H64" s="11">
        <v>45332</v>
      </c>
      <c r="I64" s="11">
        <v>45510</v>
      </c>
      <c r="J64" s="9">
        <v>182.78828828828827</v>
      </c>
      <c r="K64" s="9">
        <v>146.23063063063063</v>
      </c>
      <c r="N64" s="10"/>
      <c r="O64" s="10"/>
    </row>
    <row r="65" spans="1:15" x14ac:dyDescent="0.2">
      <c r="A65" s="6" t="s">
        <v>17</v>
      </c>
      <c r="B65" s="6" t="s">
        <v>71</v>
      </c>
      <c r="C65" s="9">
        <v>2024</v>
      </c>
      <c r="D65" s="6" t="s">
        <v>20</v>
      </c>
      <c r="E65" s="10">
        <v>20.38</v>
      </c>
      <c r="F65" s="10">
        <v>1.3586666666666667</v>
      </c>
      <c r="G65" s="9">
        <v>38.84864658787648</v>
      </c>
      <c r="H65" s="11">
        <v>45331</v>
      </c>
      <c r="I65" s="11">
        <v>45510</v>
      </c>
      <c r="J65" s="9">
        <v>179.13170731707316</v>
      </c>
      <c r="K65" s="9">
        <v>137.79362101313319</v>
      </c>
      <c r="N65" s="10"/>
      <c r="O65" s="10"/>
    </row>
    <row r="66" spans="1:15" x14ac:dyDescent="0.2">
      <c r="A66" s="6" t="s">
        <v>11</v>
      </c>
      <c r="B66" s="6" t="s">
        <v>72</v>
      </c>
      <c r="C66" s="9">
        <v>2023</v>
      </c>
      <c r="D66" s="6" t="s">
        <v>20</v>
      </c>
      <c r="E66" s="10">
        <v>13.228846021947875</v>
      </c>
      <c r="F66" s="10">
        <v>0.81948603675783305</v>
      </c>
      <c r="G66" s="9">
        <v>38.828429767971457</v>
      </c>
      <c r="H66" s="11">
        <v>45076</v>
      </c>
      <c r="I66" s="11">
        <v>45246</v>
      </c>
      <c r="J66" s="9">
        <v>132.49444444444444</v>
      </c>
      <c r="K66" s="9">
        <v>86.597676107480027</v>
      </c>
      <c r="N66" s="10"/>
      <c r="O66" s="10"/>
    </row>
    <row r="67" spans="1:15" x14ac:dyDescent="0.2">
      <c r="A67" s="6" t="s">
        <v>11</v>
      </c>
      <c r="B67" s="6" t="s">
        <v>73</v>
      </c>
      <c r="C67" s="9">
        <v>2023</v>
      </c>
      <c r="D67" s="6" t="s">
        <v>20</v>
      </c>
      <c r="E67" s="10">
        <v>22.571276974649066</v>
      </c>
      <c r="F67" s="10">
        <v>0.94610143007511061</v>
      </c>
      <c r="G67" s="9">
        <v>38.76894018318287</v>
      </c>
      <c r="H67" s="11">
        <v>44965</v>
      </c>
      <c r="I67" s="11">
        <v>45211</v>
      </c>
      <c r="J67" s="9">
        <v>147.12635379061373</v>
      </c>
      <c r="K67" s="9">
        <v>100.7714751990505</v>
      </c>
      <c r="N67" s="10"/>
      <c r="O67" s="10"/>
    </row>
    <row r="68" spans="1:15" x14ac:dyDescent="0.2">
      <c r="A68" s="6" t="s">
        <v>14</v>
      </c>
      <c r="B68" s="6" t="s">
        <v>74</v>
      </c>
      <c r="C68" s="9">
        <v>2022</v>
      </c>
      <c r="D68" s="6" t="s">
        <v>20</v>
      </c>
      <c r="E68" s="10">
        <v>6.3</v>
      </c>
      <c r="F68" s="10">
        <v>0.44099999999999995</v>
      </c>
      <c r="G68" s="9">
        <v>38.674033149171272</v>
      </c>
      <c r="H68" s="11">
        <v>44819</v>
      </c>
      <c r="I68" s="11">
        <v>45001</v>
      </c>
      <c r="J68" s="9">
        <v>57.014999999999993</v>
      </c>
      <c r="K68" s="9">
        <v>52.307339449541274</v>
      </c>
      <c r="N68" s="10"/>
      <c r="O68" s="10"/>
    </row>
    <row r="69" spans="1:15" x14ac:dyDescent="0.2">
      <c r="A69" s="6" t="s">
        <v>11</v>
      </c>
      <c r="B69" s="6" t="s">
        <v>75</v>
      </c>
      <c r="C69" s="9">
        <v>2024</v>
      </c>
      <c r="D69" s="6" t="s">
        <v>20</v>
      </c>
      <c r="E69" s="10">
        <v>18.760000000000002</v>
      </c>
      <c r="F69" s="10">
        <v>1.2159259259259261</v>
      </c>
      <c r="G69" s="9">
        <v>38.592882123019962</v>
      </c>
      <c r="H69" s="11">
        <v>45449</v>
      </c>
      <c r="I69" s="11">
        <v>45617</v>
      </c>
      <c r="J69" s="9">
        <v>192.24293785310735</v>
      </c>
      <c r="K69" s="9">
        <v>119.40555146155735</v>
      </c>
      <c r="N69" s="10"/>
      <c r="O69" s="10"/>
    </row>
    <row r="70" spans="1:15" x14ac:dyDescent="0.2">
      <c r="A70" s="6" t="s">
        <v>16</v>
      </c>
      <c r="B70" s="6" t="s">
        <v>76</v>
      </c>
      <c r="C70" s="9">
        <v>2022</v>
      </c>
      <c r="D70" s="6" t="s">
        <v>20</v>
      </c>
      <c r="E70" s="10">
        <v>17.32</v>
      </c>
      <c r="F70" s="10">
        <v>1.3777272727272727</v>
      </c>
      <c r="G70" s="9">
        <v>38.557435440783614</v>
      </c>
      <c r="H70" s="11">
        <v>44618</v>
      </c>
      <c r="I70" s="11">
        <v>44757</v>
      </c>
      <c r="J70" s="9">
        <v>187.16666666666666</v>
      </c>
      <c r="K70" s="9">
        <v>139.67661691542287</v>
      </c>
      <c r="N70" s="10"/>
      <c r="O70" s="10"/>
    </row>
    <row r="71" spans="1:15" x14ac:dyDescent="0.2">
      <c r="A71" s="6" t="s">
        <v>13</v>
      </c>
      <c r="B71" s="6" t="s">
        <v>77</v>
      </c>
      <c r="C71" s="9">
        <v>2024</v>
      </c>
      <c r="D71" s="6" t="s">
        <v>20</v>
      </c>
      <c r="E71" s="10">
        <v>15.27</v>
      </c>
      <c r="F71" s="10">
        <v>0.91358974358974354</v>
      </c>
      <c r="G71" s="9">
        <v>38.366834170854268</v>
      </c>
      <c r="H71" s="11">
        <v>45364</v>
      </c>
      <c r="I71" s="11">
        <v>45521</v>
      </c>
      <c r="J71" s="9">
        <v>156.51685393258427</v>
      </c>
      <c r="K71" s="9">
        <v>117.68184506209343</v>
      </c>
      <c r="N71" s="10"/>
      <c r="O71" s="10"/>
    </row>
    <row r="72" spans="1:15" x14ac:dyDescent="0.2">
      <c r="A72" s="6" t="s">
        <v>14</v>
      </c>
      <c r="B72" s="6" t="s">
        <v>78</v>
      </c>
      <c r="C72" s="9">
        <v>2022</v>
      </c>
      <c r="D72" s="6" t="s">
        <v>20</v>
      </c>
      <c r="E72" s="10">
        <v>12.62</v>
      </c>
      <c r="F72" s="10">
        <v>0.93978723404255315</v>
      </c>
      <c r="G72" s="9">
        <v>37.909282066686686</v>
      </c>
      <c r="H72" s="11">
        <v>44681</v>
      </c>
      <c r="I72" s="11">
        <v>44841</v>
      </c>
      <c r="J72" s="9">
        <v>145.64374999999998</v>
      </c>
      <c r="K72" s="9">
        <v>117.93016194331982</v>
      </c>
      <c r="N72" s="10"/>
      <c r="O72" s="10"/>
    </row>
    <row r="73" spans="1:15" x14ac:dyDescent="0.2">
      <c r="A73" s="6" t="s">
        <v>13</v>
      </c>
      <c r="B73" s="6" t="s">
        <v>387</v>
      </c>
      <c r="C73" s="9">
        <v>2026</v>
      </c>
      <c r="D73" s="6" t="s">
        <v>20</v>
      </c>
      <c r="E73" s="10">
        <v>13.1</v>
      </c>
      <c r="F73" s="10">
        <v>1.0788235294117647</v>
      </c>
      <c r="G73" s="9">
        <v>37.665324899367455</v>
      </c>
      <c r="H73" s="11">
        <v>46133</v>
      </c>
      <c r="I73" s="11">
        <v>46282</v>
      </c>
      <c r="J73" s="9">
        <v>152.16249999999999</v>
      </c>
      <c r="K73" s="9">
        <v>126.80208333333333</v>
      </c>
      <c r="N73" s="10"/>
      <c r="O73" s="10"/>
    </row>
    <row r="74" spans="1:15" x14ac:dyDescent="0.2">
      <c r="A74" s="6" t="s">
        <v>14</v>
      </c>
      <c r="B74" s="6" t="s">
        <v>79</v>
      </c>
      <c r="C74" s="9">
        <v>2025</v>
      </c>
      <c r="D74" s="6" t="s">
        <v>20</v>
      </c>
      <c r="E74" s="10">
        <v>19.684999999999999</v>
      </c>
      <c r="F74" s="10">
        <v>1.0599615384615384</v>
      </c>
      <c r="G74" s="9">
        <v>37.583290375546518</v>
      </c>
      <c r="H74" s="11">
        <v>45758</v>
      </c>
      <c r="I74" s="11">
        <v>45940</v>
      </c>
      <c r="J74" s="9">
        <v>129.09823943661971</v>
      </c>
      <c r="K74" s="9">
        <v>64.549119718309854</v>
      </c>
      <c r="N74" s="10"/>
      <c r="O74" s="10"/>
    </row>
    <row r="75" spans="1:15" x14ac:dyDescent="0.2">
      <c r="A75" s="6" t="s">
        <v>14</v>
      </c>
      <c r="B75" s="6" t="s">
        <v>36</v>
      </c>
      <c r="C75" s="9">
        <v>2023</v>
      </c>
      <c r="D75" s="6" t="s">
        <v>20</v>
      </c>
      <c r="E75" s="10">
        <v>14.29</v>
      </c>
      <c r="F75" s="10">
        <v>1.1497701149425286</v>
      </c>
      <c r="G75" s="9">
        <v>37.536117677961649</v>
      </c>
      <c r="H75" s="11">
        <v>45009</v>
      </c>
      <c r="I75" s="11">
        <v>45156</v>
      </c>
      <c r="J75" s="9">
        <v>130.63235294117646</v>
      </c>
      <c r="K75" s="9">
        <v>110.70538384845463</v>
      </c>
      <c r="N75" s="10"/>
      <c r="O75" s="10"/>
    </row>
    <row r="76" spans="1:15" x14ac:dyDescent="0.2">
      <c r="A76" s="6" t="s">
        <v>12</v>
      </c>
      <c r="B76" s="6" t="s">
        <v>80</v>
      </c>
      <c r="C76" s="9">
        <v>2021</v>
      </c>
      <c r="D76" s="6" t="s">
        <v>20</v>
      </c>
      <c r="E76" s="10">
        <v>17.600000000000001</v>
      </c>
      <c r="F76" s="10">
        <v>0.62538071065989853</v>
      </c>
      <c r="G76" s="9">
        <v>37.42292153944291</v>
      </c>
      <c r="H76" s="11">
        <v>44352</v>
      </c>
      <c r="I76" s="11">
        <v>44609</v>
      </c>
      <c r="J76" s="9">
        <v>128.09727626459144</v>
      </c>
      <c r="K76" s="9" t="s">
        <v>390</v>
      </c>
      <c r="N76" s="10"/>
      <c r="O76" s="10"/>
    </row>
    <row r="77" spans="1:15" x14ac:dyDescent="0.2">
      <c r="A77" s="6" t="s">
        <v>11</v>
      </c>
      <c r="B77" s="6" t="s">
        <v>81</v>
      </c>
      <c r="C77" s="9">
        <v>2022</v>
      </c>
      <c r="D77" s="6" t="s">
        <v>20</v>
      </c>
      <c r="E77" s="10">
        <v>25.820664527481629</v>
      </c>
      <c r="F77" s="10">
        <v>1.1021015347095817</v>
      </c>
      <c r="G77" s="9">
        <v>37.383327823196218</v>
      </c>
      <c r="H77" s="11">
        <v>44713</v>
      </c>
      <c r="I77" s="11">
        <v>44935</v>
      </c>
      <c r="J77" s="9">
        <v>206.61965811965811</v>
      </c>
      <c r="K77" s="9">
        <v>126.37287958388875</v>
      </c>
      <c r="N77" s="10"/>
      <c r="O77" s="10"/>
    </row>
    <row r="78" spans="1:15" x14ac:dyDescent="0.2">
      <c r="A78" s="6" t="s">
        <v>11</v>
      </c>
      <c r="B78" s="6" t="s">
        <v>49</v>
      </c>
      <c r="C78" s="9">
        <v>2021</v>
      </c>
      <c r="D78" s="6" t="s">
        <v>20</v>
      </c>
      <c r="E78" s="10">
        <v>17.559999999999999</v>
      </c>
      <c r="F78" s="10">
        <v>1.2542857142857142</v>
      </c>
      <c r="G78" s="9">
        <v>37.290295179443618</v>
      </c>
      <c r="H78" s="11">
        <v>44347</v>
      </c>
      <c r="I78" s="11">
        <v>44503</v>
      </c>
      <c r="J78" s="9">
        <v>197.38323353293413</v>
      </c>
      <c r="K78" s="9">
        <v>135.19399557050284</v>
      </c>
      <c r="N78" s="10"/>
      <c r="O78" s="10"/>
    </row>
    <row r="79" spans="1:15" x14ac:dyDescent="0.2">
      <c r="A79" s="6" t="s">
        <v>16</v>
      </c>
      <c r="B79" s="6" t="s">
        <v>82</v>
      </c>
      <c r="C79" s="9">
        <v>2024</v>
      </c>
      <c r="D79" s="6" t="s">
        <v>20</v>
      </c>
      <c r="E79" s="10">
        <v>24.06</v>
      </c>
      <c r="F79" s="10">
        <v>1.8306521739130435</v>
      </c>
      <c r="G79" s="9">
        <v>37.03817733990148</v>
      </c>
      <c r="H79" s="11">
        <v>45338</v>
      </c>
      <c r="I79" s="11">
        <v>45496</v>
      </c>
      <c r="J79" s="9">
        <v>227.35999999999999</v>
      </c>
      <c r="K79" s="9">
        <v>174.89230769230767</v>
      </c>
      <c r="N79" s="10"/>
      <c r="O79" s="10"/>
    </row>
    <row r="80" spans="1:15" x14ac:dyDescent="0.2">
      <c r="A80" s="6" t="s">
        <v>13</v>
      </c>
      <c r="B80" s="6" t="s">
        <v>63</v>
      </c>
      <c r="C80" s="9">
        <v>2023</v>
      </c>
      <c r="D80" s="6" t="s">
        <v>20</v>
      </c>
      <c r="E80" s="10">
        <v>15.09</v>
      </c>
      <c r="F80" s="10">
        <v>0.81253846153846143</v>
      </c>
      <c r="G80" s="9">
        <v>37.021589793915602</v>
      </c>
      <c r="H80" s="11">
        <v>45075</v>
      </c>
      <c r="I80" s="11">
        <v>45264</v>
      </c>
      <c r="J80" s="9">
        <v>104.89705882352942</v>
      </c>
      <c r="K80" s="9">
        <v>78.869969040247682</v>
      </c>
      <c r="N80" s="10"/>
      <c r="O80" s="10"/>
    </row>
    <row r="81" spans="1:15" x14ac:dyDescent="0.2">
      <c r="A81" s="6" t="s">
        <v>17</v>
      </c>
      <c r="B81" s="6" t="s">
        <v>83</v>
      </c>
      <c r="C81" s="9">
        <v>2022</v>
      </c>
      <c r="D81" s="6" t="s">
        <v>20</v>
      </c>
      <c r="E81" s="10">
        <v>12.34</v>
      </c>
      <c r="F81" s="10">
        <v>0.72588235294117642</v>
      </c>
      <c r="G81" s="9">
        <v>36.923997606223821</v>
      </c>
      <c r="H81" s="11">
        <v>44760</v>
      </c>
      <c r="I81" s="11">
        <v>44935</v>
      </c>
      <c r="J81" s="9">
        <v>125.10160427807486</v>
      </c>
      <c r="K81" s="9">
        <v>125.10160427807486</v>
      </c>
      <c r="N81" s="10"/>
      <c r="O81" s="10"/>
    </row>
    <row r="82" spans="1:15" x14ac:dyDescent="0.2">
      <c r="A82" s="6" t="s">
        <v>11</v>
      </c>
      <c r="B82" s="6" t="s">
        <v>26</v>
      </c>
      <c r="C82" s="9">
        <v>2026</v>
      </c>
      <c r="D82" s="6" t="s">
        <v>20</v>
      </c>
      <c r="E82" s="10">
        <v>12.255657455664801</v>
      </c>
      <c r="F82" s="10">
        <v>1.299842457418994</v>
      </c>
      <c r="G82" s="9">
        <v>36.848038050705959</v>
      </c>
      <c r="H82" s="11">
        <v>46011</v>
      </c>
      <c r="I82" s="11">
        <v>46167</v>
      </c>
      <c r="J82" s="9">
        <v>120.6321243523316</v>
      </c>
      <c r="K82" s="9">
        <v>79.36323970548132</v>
      </c>
      <c r="N82" s="10"/>
      <c r="O82" s="10"/>
    </row>
    <row r="83" spans="1:15" x14ac:dyDescent="0.2">
      <c r="A83" s="6" t="s">
        <v>18</v>
      </c>
      <c r="B83" s="6" t="s">
        <v>84</v>
      </c>
      <c r="C83" s="9">
        <v>2023</v>
      </c>
      <c r="D83" s="6" t="s">
        <v>20</v>
      </c>
      <c r="E83" s="10">
        <v>26.3</v>
      </c>
      <c r="F83" s="10">
        <v>1.2784722222222222</v>
      </c>
      <c r="G83" s="9">
        <v>36.382852747666242</v>
      </c>
      <c r="H83" s="11">
        <v>45033</v>
      </c>
      <c r="I83" s="11">
        <v>45233</v>
      </c>
      <c r="J83" s="9">
        <v>191.66954545454547</v>
      </c>
      <c r="K83" s="9">
        <v>122.47255300609935</v>
      </c>
      <c r="N83" s="10"/>
      <c r="O83" s="10"/>
    </row>
    <row r="84" spans="1:15" x14ac:dyDescent="0.2">
      <c r="A84" s="6" t="s">
        <v>16</v>
      </c>
      <c r="B84" s="6" t="s">
        <v>107</v>
      </c>
      <c r="C84" s="9">
        <v>2026</v>
      </c>
      <c r="D84" s="6" t="s">
        <v>20</v>
      </c>
      <c r="E84" s="10">
        <v>23.13</v>
      </c>
      <c r="F84" s="10">
        <v>2.0757692307692306</v>
      </c>
      <c r="G84" s="9">
        <v>35.932887991300298</v>
      </c>
      <c r="H84" s="11">
        <v>46093</v>
      </c>
      <c r="I84" s="11">
        <v>46246</v>
      </c>
      <c r="J84" s="9">
        <v>235.91099476439791</v>
      </c>
      <c r="K84" s="9">
        <v>134.80628272251309</v>
      </c>
      <c r="N84" s="10"/>
      <c r="O84" s="10"/>
    </row>
    <row r="85" spans="1:15" x14ac:dyDescent="0.2">
      <c r="A85" s="6" t="s">
        <v>16</v>
      </c>
      <c r="B85" s="6" t="s">
        <v>85</v>
      </c>
      <c r="C85" s="9">
        <v>2023</v>
      </c>
      <c r="D85" s="6" t="s">
        <v>20</v>
      </c>
      <c r="E85" s="10">
        <v>19.079999999999998</v>
      </c>
      <c r="F85" s="10">
        <v>1.6287804878048779</v>
      </c>
      <c r="G85" s="9">
        <v>35.68356087525715</v>
      </c>
      <c r="H85" s="11">
        <v>44977</v>
      </c>
      <c r="I85" s="11">
        <v>45125</v>
      </c>
      <c r="J85" s="9">
        <v>184.37931034482759</v>
      </c>
      <c r="K85" s="9">
        <v>136.57726692209451</v>
      </c>
      <c r="N85" s="10"/>
      <c r="O85" s="10"/>
    </row>
    <row r="86" spans="1:15" x14ac:dyDescent="0.2">
      <c r="A86" s="6" t="s">
        <v>11</v>
      </c>
      <c r="B86" s="6" t="s">
        <v>44</v>
      </c>
      <c r="C86" s="9">
        <v>2026</v>
      </c>
      <c r="D86" s="6" t="s">
        <v>20</v>
      </c>
      <c r="E86" s="10">
        <v>12.752255278656687</v>
      </c>
      <c r="F86" s="10">
        <v>1.3525119234938909</v>
      </c>
      <c r="G86" s="9">
        <v>35.551311063999684</v>
      </c>
      <c r="H86" s="11">
        <v>46011</v>
      </c>
      <c r="I86" s="11">
        <v>46167</v>
      </c>
      <c r="J86" s="9">
        <v>140.27374301675977</v>
      </c>
      <c r="K86" s="9">
        <v>92.285357247868262</v>
      </c>
      <c r="N86" s="10"/>
      <c r="O86" s="10"/>
    </row>
    <row r="87" spans="1:15" x14ac:dyDescent="0.2">
      <c r="A87" s="6" t="s">
        <v>16</v>
      </c>
      <c r="B87" s="6" t="s">
        <v>86</v>
      </c>
      <c r="C87" s="9">
        <v>2022</v>
      </c>
      <c r="D87" s="6" t="s">
        <v>20</v>
      </c>
      <c r="E87" s="10">
        <v>15.6</v>
      </c>
      <c r="F87" s="10">
        <v>1.456</v>
      </c>
      <c r="G87" s="9">
        <v>35.31009506564056</v>
      </c>
      <c r="H87" s="11">
        <v>44618</v>
      </c>
      <c r="I87" s="11">
        <v>44768</v>
      </c>
      <c r="J87" s="9">
        <v>176.72</v>
      </c>
      <c r="K87" s="9">
        <v>142.51612903225808</v>
      </c>
      <c r="N87" s="10"/>
      <c r="O87" s="10"/>
    </row>
    <row r="88" spans="1:15" x14ac:dyDescent="0.2">
      <c r="A88" s="6" t="s">
        <v>13</v>
      </c>
      <c r="B88" s="6" t="s">
        <v>87</v>
      </c>
      <c r="C88" s="9">
        <v>2026</v>
      </c>
      <c r="D88" s="6" t="s">
        <v>20</v>
      </c>
      <c r="E88" s="10">
        <v>14</v>
      </c>
      <c r="F88" s="10">
        <v>1.0425531914893618</v>
      </c>
      <c r="G88" s="9">
        <v>35.308953341740228</v>
      </c>
      <c r="H88" s="11">
        <v>46008</v>
      </c>
      <c r="I88" s="11">
        <v>46192</v>
      </c>
      <c r="J88" s="9">
        <v>130.30516431924883</v>
      </c>
      <c r="K88" s="9">
        <v>100.23474178403755</v>
      </c>
      <c r="N88" s="10"/>
      <c r="O88" s="10"/>
    </row>
    <row r="89" spans="1:15" x14ac:dyDescent="0.2">
      <c r="A89" s="6" t="s">
        <v>17</v>
      </c>
      <c r="B89" s="6" t="s">
        <v>386</v>
      </c>
      <c r="C89" s="9">
        <v>2026</v>
      </c>
      <c r="D89" s="6" t="s">
        <v>20</v>
      </c>
      <c r="E89" s="10">
        <v>13.31</v>
      </c>
      <c r="F89" s="10">
        <v>1.6063793103448274</v>
      </c>
      <c r="G89" s="9">
        <v>35.267620561738205</v>
      </c>
      <c r="H89" s="11">
        <v>46066</v>
      </c>
      <c r="I89" s="11">
        <v>46213</v>
      </c>
      <c r="J89" s="9">
        <v>160.1090909090909</v>
      </c>
      <c r="K89" s="9">
        <v>139.22529644268775</v>
      </c>
      <c r="N89" s="10"/>
      <c r="O89" s="10"/>
    </row>
    <row r="90" spans="1:15" x14ac:dyDescent="0.2">
      <c r="A90" s="6" t="s">
        <v>13</v>
      </c>
      <c r="B90" s="6" t="s">
        <v>88</v>
      </c>
      <c r="C90" s="9">
        <v>2022</v>
      </c>
      <c r="D90" s="6" t="s">
        <v>20</v>
      </c>
      <c r="E90" s="10">
        <v>16.2</v>
      </c>
      <c r="F90" s="10">
        <v>1.111764705882353</v>
      </c>
      <c r="G90" s="9">
        <v>35.194438409732783</v>
      </c>
      <c r="H90" s="11">
        <v>44711</v>
      </c>
      <c r="I90" s="11">
        <v>44873</v>
      </c>
      <c r="J90" s="9">
        <v>196.46951219512195</v>
      </c>
      <c r="K90" s="9">
        <v>151.13039399624765</v>
      </c>
      <c r="N90" s="10"/>
      <c r="O90" s="10"/>
    </row>
    <row r="91" spans="1:15" x14ac:dyDescent="0.2">
      <c r="A91" s="6" t="s">
        <v>16</v>
      </c>
      <c r="B91" s="6" t="s">
        <v>89</v>
      </c>
      <c r="C91" s="9">
        <v>2022</v>
      </c>
      <c r="D91" s="6" t="s">
        <v>20</v>
      </c>
      <c r="E91" s="10">
        <v>15.76</v>
      </c>
      <c r="F91" s="10">
        <v>1.2536363636363637</v>
      </c>
      <c r="G91" s="9">
        <v>35.084594835262692</v>
      </c>
      <c r="H91" s="11">
        <v>44618</v>
      </c>
      <c r="I91" s="11">
        <v>44757</v>
      </c>
      <c r="J91" s="9">
        <v>187.16666666666666</v>
      </c>
      <c r="K91" s="9">
        <v>139.67661691542287</v>
      </c>
      <c r="N91" s="10"/>
      <c r="O91" s="10"/>
    </row>
    <row r="92" spans="1:15" x14ac:dyDescent="0.2">
      <c r="A92" s="6" t="s">
        <v>11</v>
      </c>
      <c r="B92" s="6" t="s">
        <v>41</v>
      </c>
      <c r="C92" s="9">
        <v>2026</v>
      </c>
      <c r="D92" s="6" t="s">
        <v>20</v>
      </c>
      <c r="E92" s="10">
        <v>13.21</v>
      </c>
      <c r="F92" s="10">
        <v>1.3023943661971833</v>
      </c>
      <c r="G92" s="9">
        <v>34.882492738315293</v>
      </c>
      <c r="H92" s="11">
        <v>46015</v>
      </c>
      <c r="I92" s="11">
        <v>46175</v>
      </c>
      <c r="J92" s="9">
        <v>150.61931818181819</v>
      </c>
      <c r="K92" s="9">
        <v>108.35922171353828</v>
      </c>
      <c r="N92" s="10"/>
      <c r="O92" s="10"/>
    </row>
    <row r="93" spans="1:15" x14ac:dyDescent="0.2">
      <c r="A93" s="6" t="s">
        <v>14</v>
      </c>
      <c r="B93" s="6" t="s">
        <v>90</v>
      </c>
      <c r="C93" s="9">
        <v>2023</v>
      </c>
      <c r="D93" s="6" t="s">
        <v>20</v>
      </c>
      <c r="E93" s="10">
        <v>12</v>
      </c>
      <c r="F93" s="10">
        <v>1.2173913043478259</v>
      </c>
      <c r="G93" s="9">
        <v>34.62204270051933</v>
      </c>
      <c r="H93" s="11">
        <v>45040</v>
      </c>
      <c r="I93" s="11">
        <v>45167</v>
      </c>
      <c r="J93" s="9">
        <v>157.54545454545453</v>
      </c>
      <c r="K93" s="9">
        <v>131.28787878787878</v>
      </c>
      <c r="N93" s="10"/>
      <c r="O93" s="10"/>
    </row>
    <row r="94" spans="1:15" x14ac:dyDescent="0.2">
      <c r="A94" s="6" t="s">
        <v>11</v>
      </c>
      <c r="B94" s="6" t="s">
        <v>52</v>
      </c>
      <c r="C94" s="9">
        <v>2021</v>
      </c>
      <c r="D94" s="6" t="s">
        <v>20</v>
      </c>
      <c r="E94" s="10">
        <v>10.83</v>
      </c>
      <c r="F94" s="10">
        <v>1.2227419354838709</v>
      </c>
      <c r="G94" s="9">
        <v>34.512428298279161</v>
      </c>
      <c r="H94" s="11">
        <v>44382</v>
      </c>
      <c r="I94" s="11">
        <v>44502</v>
      </c>
      <c r="J94" s="9">
        <v>158.02877697841726</v>
      </c>
      <c r="K94" s="9">
        <v>126.42302158273381</v>
      </c>
      <c r="N94" s="10"/>
      <c r="O94" s="10"/>
    </row>
    <row r="95" spans="1:15" x14ac:dyDescent="0.2">
      <c r="A95" s="6" t="s">
        <v>17</v>
      </c>
      <c r="B95" s="6" t="s">
        <v>71</v>
      </c>
      <c r="C95" s="9">
        <v>2026</v>
      </c>
      <c r="D95" s="6" t="s">
        <v>20</v>
      </c>
      <c r="E95" s="10">
        <v>22.2</v>
      </c>
      <c r="F95" s="10">
        <v>1.7659090909090909</v>
      </c>
      <c r="G95" s="9">
        <v>34.455998758342389</v>
      </c>
      <c r="H95" s="11">
        <v>46066</v>
      </c>
      <c r="I95" s="11">
        <v>46234</v>
      </c>
      <c r="J95" s="9">
        <v>239.89893617021275</v>
      </c>
      <c r="K95" s="9">
        <v>171.35638297872342</v>
      </c>
      <c r="N95" s="10"/>
      <c r="O95" s="10"/>
    </row>
    <row r="96" spans="1:15" x14ac:dyDescent="0.2">
      <c r="A96" s="6" t="s">
        <v>11</v>
      </c>
      <c r="B96" s="6" t="s">
        <v>91</v>
      </c>
      <c r="C96" s="9">
        <v>2025</v>
      </c>
      <c r="D96" s="6" t="s">
        <v>20</v>
      </c>
      <c r="E96" s="10">
        <v>12.51</v>
      </c>
      <c r="F96" s="10">
        <v>1.5098275862068964</v>
      </c>
      <c r="G96" s="9">
        <v>34.377576257213519</v>
      </c>
      <c r="H96" s="11">
        <v>45648</v>
      </c>
      <c r="I96" s="11">
        <v>45803</v>
      </c>
      <c r="J96" s="9">
        <v>123.65533980582525</v>
      </c>
      <c r="K96" s="9">
        <v>88.010918011263527</v>
      </c>
      <c r="N96" s="10"/>
      <c r="O96" s="10"/>
    </row>
    <row r="97" spans="1:15" x14ac:dyDescent="0.2">
      <c r="A97" s="6" t="s">
        <v>11</v>
      </c>
      <c r="B97" s="6" t="s">
        <v>92</v>
      </c>
      <c r="C97" s="9">
        <v>2022</v>
      </c>
      <c r="D97" s="6" t="s">
        <v>20</v>
      </c>
      <c r="E97" s="10">
        <v>21.726954595791806</v>
      </c>
      <c r="F97" s="10">
        <v>0.75291426817100315</v>
      </c>
      <c r="G97" s="9">
        <v>32.974585818472917</v>
      </c>
      <c r="H97" s="11">
        <v>44685</v>
      </c>
      <c r="I97" s="11">
        <v>44942</v>
      </c>
      <c r="J97" s="9">
        <v>173.39473684210526</v>
      </c>
      <c r="K97" s="9">
        <v>138.7157894736842</v>
      </c>
      <c r="N97" s="10"/>
      <c r="O97" s="10"/>
    </row>
    <row r="98" spans="1:15" x14ac:dyDescent="0.2">
      <c r="A98" s="6" t="s">
        <v>13</v>
      </c>
      <c r="B98" s="6" t="s">
        <v>43</v>
      </c>
      <c r="C98" s="9">
        <v>2025</v>
      </c>
      <c r="D98" s="6" t="s">
        <v>20</v>
      </c>
      <c r="E98" s="10">
        <v>12</v>
      </c>
      <c r="F98" s="10">
        <v>0.91304347826086962</v>
      </c>
      <c r="G98" s="9">
        <v>32.777929527451519</v>
      </c>
      <c r="H98" s="11">
        <v>45829</v>
      </c>
      <c r="I98" s="11">
        <v>45980</v>
      </c>
      <c r="J98" s="9">
        <v>164.27564102564102</v>
      </c>
      <c r="K98" s="9">
        <v>82.137820512820511</v>
      </c>
      <c r="N98" s="10"/>
      <c r="O98" s="10"/>
    </row>
    <row r="99" spans="1:15" x14ac:dyDescent="0.2">
      <c r="A99" s="6" t="s">
        <v>13</v>
      </c>
      <c r="B99" s="6" t="s">
        <v>93</v>
      </c>
      <c r="C99" s="9">
        <v>2023</v>
      </c>
      <c r="D99" s="6" t="s">
        <v>20</v>
      </c>
      <c r="E99" s="10">
        <v>15.4</v>
      </c>
      <c r="F99" s="10">
        <v>0.78686131386861313</v>
      </c>
      <c r="G99" s="9">
        <v>32.177183451734223</v>
      </c>
      <c r="H99" s="11">
        <v>45075</v>
      </c>
      <c r="I99" s="11">
        <v>45271</v>
      </c>
      <c r="J99" s="9">
        <v>105.35220125786164</v>
      </c>
      <c r="K99" s="9">
        <v>79.21218139688844</v>
      </c>
      <c r="N99" s="10"/>
      <c r="O99" s="10"/>
    </row>
    <row r="100" spans="1:15" x14ac:dyDescent="0.2">
      <c r="A100" s="6" t="s">
        <v>12</v>
      </c>
      <c r="B100" s="6" t="s">
        <v>94</v>
      </c>
      <c r="C100" s="9">
        <v>2022</v>
      </c>
      <c r="D100" s="6" t="s">
        <v>20</v>
      </c>
      <c r="E100" s="10">
        <v>13.7</v>
      </c>
      <c r="F100" s="10">
        <v>1.3898550724637679</v>
      </c>
      <c r="G100" s="9">
        <v>32.046783625730995</v>
      </c>
      <c r="H100" s="11">
        <v>44560</v>
      </c>
      <c r="I100" s="11">
        <v>44707</v>
      </c>
      <c r="J100" s="9">
        <v>193.06451612903226</v>
      </c>
      <c r="K100" s="9" t="s">
        <v>390</v>
      </c>
      <c r="N100" s="10"/>
      <c r="O100" s="10"/>
    </row>
    <row r="101" spans="1:15" x14ac:dyDescent="0.2">
      <c r="A101" s="6" t="s">
        <v>17</v>
      </c>
      <c r="B101" s="6" t="s">
        <v>95</v>
      </c>
      <c r="C101" s="9">
        <v>2025</v>
      </c>
      <c r="D101" s="6" t="s">
        <v>20</v>
      </c>
      <c r="E101" s="10">
        <v>13.58</v>
      </c>
      <c r="F101" s="10">
        <v>1.4624615384615383</v>
      </c>
      <c r="G101" s="9">
        <v>31.907894736842106</v>
      </c>
      <c r="H101" s="11">
        <v>45729</v>
      </c>
      <c r="I101" s="11">
        <v>45870</v>
      </c>
      <c r="J101" s="9">
        <v>189.7579617834395</v>
      </c>
      <c r="K101" s="9">
        <v>140.56145317291814</v>
      </c>
      <c r="N101" s="10"/>
      <c r="O101" s="10"/>
    </row>
    <row r="102" spans="1:15" x14ac:dyDescent="0.2">
      <c r="A102" s="6" t="s">
        <v>11</v>
      </c>
      <c r="B102" s="6" t="s">
        <v>35</v>
      </c>
      <c r="C102" s="9">
        <v>2018</v>
      </c>
      <c r="D102" s="6" t="s">
        <v>20</v>
      </c>
      <c r="E102" s="10">
        <v>23.831580000000002</v>
      </c>
      <c r="F102" s="10">
        <v>0.75484642533936652</v>
      </c>
      <c r="G102" s="9">
        <v>31.291385556759515</v>
      </c>
      <c r="H102" s="11">
        <v>43341</v>
      </c>
      <c r="I102" s="11">
        <v>43616</v>
      </c>
      <c r="J102" s="9">
        <v>193.86231244483673</v>
      </c>
      <c r="K102" s="9" t="s">
        <v>390</v>
      </c>
      <c r="N102" s="10"/>
      <c r="O102" s="10"/>
    </row>
    <row r="103" spans="1:15" x14ac:dyDescent="0.2">
      <c r="A103" s="6" t="s">
        <v>12</v>
      </c>
      <c r="B103" s="6" t="s">
        <v>96</v>
      </c>
      <c r="C103" s="9">
        <v>2021</v>
      </c>
      <c r="D103" s="6" t="s">
        <v>20</v>
      </c>
      <c r="E103" s="10">
        <v>13.8</v>
      </c>
      <c r="F103" s="10">
        <v>0.92</v>
      </c>
      <c r="G103" s="9">
        <v>31.223344201168835</v>
      </c>
      <c r="H103" s="11">
        <v>44394</v>
      </c>
      <c r="I103" s="11">
        <v>44559</v>
      </c>
      <c r="J103" s="9">
        <v>187.50539393939394</v>
      </c>
      <c r="K103" s="9" t="s">
        <v>390</v>
      </c>
      <c r="N103" s="10"/>
      <c r="O103" s="10"/>
    </row>
    <row r="104" spans="1:15" x14ac:dyDescent="0.2">
      <c r="A104" s="6" t="s">
        <v>17</v>
      </c>
      <c r="B104" s="6" t="s">
        <v>97</v>
      </c>
      <c r="C104" s="9">
        <v>2024</v>
      </c>
      <c r="D104" s="6" t="s">
        <v>20</v>
      </c>
      <c r="E104" s="10">
        <v>17.59</v>
      </c>
      <c r="F104" s="10">
        <v>1.4658333333333333</v>
      </c>
      <c r="G104" s="9">
        <v>31.01745723858226</v>
      </c>
      <c r="H104" s="11">
        <v>45330</v>
      </c>
      <c r="I104" s="11">
        <v>45495</v>
      </c>
      <c r="J104" s="9">
        <v>207.83769633507853</v>
      </c>
      <c r="K104" s="9">
        <v>197.94066317626528</v>
      </c>
      <c r="N104" s="10"/>
      <c r="O104" s="10"/>
    </row>
    <row r="105" spans="1:15" x14ac:dyDescent="0.2">
      <c r="A105" s="6" t="s">
        <v>13</v>
      </c>
      <c r="B105" s="6" t="s">
        <v>43</v>
      </c>
      <c r="C105" s="9">
        <v>2022</v>
      </c>
      <c r="D105" s="6" t="s">
        <v>20</v>
      </c>
      <c r="E105" s="10">
        <v>11.82</v>
      </c>
      <c r="F105" s="10">
        <v>0.99686746987951802</v>
      </c>
      <c r="G105" s="9">
        <v>30.677394238255904</v>
      </c>
      <c r="H105" s="11">
        <v>44673</v>
      </c>
      <c r="I105" s="11">
        <v>44816</v>
      </c>
      <c r="J105" s="9">
        <v>184.73287671232876</v>
      </c>
      <c r="K105" s="9">
        <v>142.1022128556375</v>
      </c>
      <c r="N105" s="10"/>
      <c r="O105" s="10"/>
    </row>
    <row r="106" spans="1:15" x14ac:dyDescent="0.2">
      <c r="A106" s="6" t="s">
        <v>11</v>
      </c>
      <c r="B106" s="6" t="s">
        <v>90</v>
      </c>
      <c r="C106" s="9">
        <v>2026</v>
      </c>
      <c r="D106" s="6" t="s">
        <v>20</v>
      </c>
      <c r="E106" s="10">
        <v>12.51</v>
      </c>
      <c r="F106" s="10">
        <v>1.2691304347826087</v>
      </c>
      <c r="G106" s="9">
        <v>30.31992244304411</v>
      </c>
      <c r="H106" s="11">
        <v>46017</v>
      </c>
      <c r="I106" s="11">
        <v>46174</v>
      </c>
      <c r="J106" s="9">
        <v>164.10227272727272</v>
      </c>
      <c r="K106" s="9">
        <v>118.05918901242643</v>
      </c>
      <c r="N106" s="10"/>
      <c r="O106" s="10"/>
    </row>
    <row r="107" spans="1:15" x14ac:dyDescent="0.2">
      <c r="A107" s="6" t="s">
        <v>11</v>
      </c>
      <c r="B107" s="6" t="s">
        <v>56</v>
      </c>
      <c r="C107" s="9">
        <v>2024</v>
      </c>
      <c r="D107" s="6" t="s">
        <v>20</v>
      </c>
      <c r="E107" s="10">
        <v>14.1</v>
      </c>
      <c r="F107" s="10">
        <v>0.93113207547169807</v>
      </c>
      <c r="G107" s="9">
        <v>29.923599320882854</v>
      </c>
      <c r="H107" s="11">
        <v>45449</v>
      </c>
      <c r="I107" s="11">
        <v>45616</v>
      </c>
      <c r="J107" s="9">
        <v>185.30337078651687</v>
      </c>
      <c r="K107" s="9">
        <v>115.095261358085</v>
      </c>
      <c r="N107" s="10"/>
      <c r="O107" s="10"/>
    </row>
    <row r="108" spans="1:15" x14ac:dyDescent="0.2">
      <c r="A108" s="6" t="s">
        <v>16</v>
      </c>
      <c r="B108" s="6" t="s">
        <v>98</v>
      </c>
      <c r="C108" s="9">
        <v>2022</v>
      </c>
      <c r="D108" s="6" t="s">
        <v>20</v>
      </c>
      <c r="E108" s="10">
        <v>13.1</v>
      </c>
      <c r="F108" s="10">
        <v>1.31</v>
      </c>
      <c r="G108" s="9">
        <v>29.840546697038725</v>
      </c>
      <c r="H108" s="11">
        <v>44618</v>
      </c>
      <c r="I108" s="11">
        <v>44760</v>
      </c>
      <c r="J108" s="9">
        <v>175.6</v>
      </c>
      <c r="K108" s="9">
        <v>131.04477611940297</v>
      </c>
      <c r="N108" s="10"/>
      <c r="O108" s="10"/>
    </row>
    <row r="109" spans="1:15" x14ac:dyDescent="0.2">
      <c r="A109" s="6" t="s">
        <v>11</v>
      </c>
      <c r="B109" s="6" t="s">
        <v>99</v>
      </c>
      <c r="C109" s="9">
        <v>2024</v>
      </c>
      <c r="D109" s="6" t="s">
        <v>20</v>
      </c>
      <c r="E109" s="10">
        <v>13.759858999779688</v>
      </c>
      <c r="F109" s="10">
        <v>0.81626282202082889</v>
      </c>
      <c r="G109" s="9">
        <v>29.751046486010132</v>
      </c>
      <c r="H109" s="11">
        <v>45282</v>
      </c>
      <c r="I109" s="11">
        <v>45481</v>
      </c>
      <c r="J109" s="9">
        <v>127.96442687747034</v>
      </c>
      <c r="K109" s="9">
        <v>92.727845563384321</v>
      </c>
      <c r="N109" s="10"/>
      <c r="O109" s="10"/>
    </row>
    <row r="110" spans="1:15" x14ac:dyDescent="0.2">
      <c r="A110" s="6" t="s">
        <v>16</v>
      </c>
      <c r="B110" s="6" t="s">
        <v>85</v>
      </c>
      <c r="C110" s="9">
        <v>2025</v>
      </c>
      <c r="D110" s="6" t="s">
        <v>20</v>
      </c>
      <c r="E110" s="10">
        <v>20.58</v>
      </c>
      <c r="F110" s="10">
        <v>1.1167441860465117</v>
      </c>
      <c r="G110" s="9">
        <v>27.999999999999996</v>
      </c>
      <c r="H110" s="11">
        <v>45729</v>
      </c>
      <c r="I110" s="11">
        <v>45926</v>
      </c>
      <c r="J110" s="9">
        <v>189.85239852398524</v>
      </c>
      <c r="K110" s="9">
        <v>151.8819188191882</v>
      </c>
      <c r="N110" s="10"/>
      <c r="O110" s="10"/>
    </row>
    <row r="111" spans="1:15" x14ac:dyDescent="0.2">
      <c r="A111" s="6" t="s">
        <v>13</v>
      </c>
      <c r="B111" s="6" t="s">
        <v>100</v>
      </c>
      <c r="C111" s="9">
        <v>2026</v>
      </c>
      <c r="D111" s="6" t="s">
        <v>20</v>
      </c>
      <c r="E111" s="10">
        <v>4.3</v>
      </c>
      <c r="F111" s="10">
        <v>0.53749999999999998</v>
      </c>
      <c r="G111" s="9">
        <v>27.981250393147416</v>
      </c>
      <c r="H111" s="11">
        <v>45960</v>
      </c>
      <c r="I111" s="11">
        <v>46111</v>
      </c>
      <c r="J111" s="9">
        <v>65.995112474437619</v>
      </c>
      <c r="K111" s="9">
        <v>79.512183704141719</v>
      </c>
      <c r="N111" s="10"/>
      <c r="O111" s="10"/>
    </row>
    <row r="112" spans="1:15" x14ac:dyDescent="0.2">
      <c r="A112" s="6" t="s">
        <v>11</v>
      </c>
      <c r="B112" s="6" t="s">
        <v>101</v>
      </c>
      <c r="C112" s="9">
        <v>2019</v>
      </c>
      <c r="D112" s="6" t="s">
        <v>20</v>
      </c>
      <c r="E112" s="10">
        <v>12.55952253968254</v>
      </c>
      <c r="F112" s="10">
        <v>0.96611711843711845</v>
      </c>
      <c r="G112" s="9">
        <v>27.635779140937863</v>
      </c>
      <c r="H112" s="11">
        <v>43556</v>
      </c>
      <c r="I112" s="11">
        <v>43693</v>
      </c>
      <c r="J112" s="9">
        <v>232.208915030827</v>
      </c>
      <c r="K112" s="9" t="s">
        <v>390</v>
      </c>
      <c r="N112" s="10"/>
      <c r="O112" s="10"/>
    </row>
    <row r="113" spans="1:15" x14ac:dyDescent="0.2">
      <c r="A113" s="6" t="s">
        <v>11</v>
      </c>
      <c r="B113" s="6" t="s">
        <v>102</v>
      </c>
      <c r="C113" s="9">
        <v>2025</v>
      </c>
      <c r="D113" s="6" t="s">
        <v>20</v>
      </c>
      <c r="E113" s="10">
        <v>11.66</v>
      </c>
      <c r="F113" s="10">
        <v>1.338032786885246</v>
      </c>
      <c r="G113" s="9">
        <v>27.467608951707891</v>
      </c>
      <c r="H113" s="11">
        <v>45648</v>
      </c>
      <c r="I113" s="11">
        <v>45804</v>
      </c>
      <c r="J113" s="9">
        <v>144.247572815534</v>
      </c>
      <c r="K113" s="9">
        <v>102.66731161247971</v>
      </c>
      <c r="N113" s="10"/>
      <c r="O113" s="10"/>
    </row>
    <row r="114" spans="1:15" x14ac:dyDescent="0.2">
      <c r="A114" s="6" t="s">
        <v>17</v>
      </c>
      <c r="B114" s="6" t="s">
        <v>103</v>
      </c>
      <c r="C114" s="9">
        <v>2024</v>
      </c>
      <c r="D114" s="6" t="s">
        <v>20</v>
      </c>
      <c r="E114" s="10">
        <v>16.93</v>
      </c>
      <c r="F114" s="10">
        <v>1.4108333333333334</v>
      </c>
      <c r="G114" s="9">
        <v>27.332902809170164</v>
      </c>
      <c r="H114" s="11">
        <v>45330</v>
      </c>
      <c r="I114" s="11">
        <v>45495</v>
      </c>
      <c r="J114" s="9">
        <v>221.21428571428572</v>
      </c>
      <c r="K114" s="9">
        <v>221.21428571428572</v>
      </c>
      <c r="N114" s="10"/>
      <c r="O114" s="10"/>
    </row>
    <row r="115" spans="1:15" x14ac:dyDescent="0.2">
      <c r="A115" s="6" t="s">
        <v>11</v>
      </c>
      <c r="B115" s="6" t="s">
        <v>35</v>
      </c>
      <c r="C115" s="9">
        <v>2019</v>
      </c>
      <c r="D115" s="6" t="s">
        <v>20</v>
      </c>
      <c r="E115" s="10">
        <v>15.303129999999999</v>
      </c>
      <c r="F115" s="10">
        <v>0.64531271084337349</v>
      </c>
      <c r="G115" s="9">
        <v>26.745098668024092</v>
      </c>
      <c r="H115" s="11">
        <v>45761</v>
      </c>
      <c r="I115" s="11">
        <v>43886</v>
      </c>
      <c r="J115" s="9">
        <v>183.72895697871203</v>
      </c>
      <c r="K115" s="9" t="s">
        <v>390</v>
      </c>
      <c r="N115" s="10"/>
      <c r="O115" s="10"/>
    </row>
    <row r="116" spans="1:15" x14ac:dyDescent="0.2">
      <c r="A116" s="6" t="s">
        <v>13</v>
      </c>
      <c r="B116" s="6" t="s">
        <v>104</v>
      </c>
      <c r="C116" s="9">
        <v>2025</v>
      </c>
      <c r="D116" s="6" t="s">
        <v>20</v>
      </c>
      <c r="E116" s="10">
        <v>13</v>
      </c>
      <c r="F116" s="10">
        <v>0.79824561403508776</v>
      </c>
      <c r="G116" s="9">
        <v>25.662284338110464</v>
      </c>
      <c r="H116" s="11">
        <v>45766</v>
      </c>
      <c r="I116" s="11">
        <v>45945</v>
      </c>
      <c r="J116" s="9">
        <v>164.93302325581396</v>
      </c>
      <c r="K116" s="9">
        <v>84.581037567084081</v>
      </c>
      <c r="N116" s="10"/>
      <c r="O116" s="10"/>
    </row>
    <row r="117" spans="1:15" x14ac:dyDescent="0.2">
      <c r="A117" s="6" t="s">
        <v>11</v>
      </c>
      <c r="B117" s="6" t="s">
        <v>105</v>
      </c>
      <c r="C117" s="9">
        <v>2018</v>
      </c>
      <c r="D117" s="6" t="s">
        <v>20</v>
      </c>
      <c r="E117" s="10">
        <v>20.165820952380962</v>
      </c>
      <c r="F117" s="10">
        <v>0.67219403174603209</v>
      </c>
      <c r="G117" s="9">
        <v>25.626347837453984</v>
      </c>
      <c r="H117" s="11">
        <v>43326</v>
      </c>
      <c r="I117" s="11">
        <v>43592</v>
      </c>
      <c r="J117" s="9">
        <v>207.08354624425138</v>
      </c>
      <c r="K117" s="9" t="s">
        <v>390</v>
      </c>
      <c r="N117" s="10"/>
      <c r="O117" s="10"/>
    </row>
    <row r="118" spans="1:15" x14ac:dyDescent="0.2">
      <c r="A118" s="6" t="s">
        <v>17</v>
      </c>
      <c r="B118" s="6" t="s">
        <v>106</v>
      </c>
      <c r="C118" s="9">
        <v>2023</v>
      </c>
      <c r="D118" s="6" t="s">
        <v>20</v>
      </c>
      <c r="E118" s="10">
        <v>14.61</v>
      </c>
      <c r="F118" s="10">
        <v>1.232168674698795</v>
      </c>
      <c r="G118" s="9">
        <v>25.346981263011799</v>
      </c>
      <c r="H118" s="11">
        <v>44973</v>
      </c>
      <c r="I118" s="11">
        <v>45126</v>
      </c>
      <c r="J118" s="9">
        <v>221.69230769230768</v>
      </c>
      <c r="K118" s="9">
        <v>170.53254437869822</v>
      </c>
      <c r="N118" s="10"/>
      <c r="O118" s="10"/>
    </row>
    <row r="119" spans="1:15" x14ac:dyDescent="0.2">
      <c r="A119" s="6" t="s">
        <v>16</v>
      </c>
      <c r="B119" s="6" t="s">
        <v>107</v>
      </c>
      <c r="C119" s="9">
        <v>2025</v>
      </c>
      <c r="D119" s="6" t="s">
        <v>20</v>
      </c>
      <c r="E119" s="10">
        <v>17.940000000000001</v>
      </c>
      <c r="F119" s="10">
        <v>1.3800000000000001</v>
      </c>
      <c r="G119" s="9">
        <v>24.707340586696048</v>
      </c>
      <c r="H119" s="11">
        <v>45729</v>
      </c>
      <c r="I119" s="11">
        <v>45894</v>
      </c>
      <c r="J119" s="9">
        <v>290.44</v>
      </c>
      <c r="K119" s="9">
        <v>223.4153846153846</v>
      </c>
      <c r="N119" s="10"/>
      <c r="O119" s="10"/>
    </row>
    <row r="120" spans="1:15" x14ac:dyDescent="0.2">
      <c r="A120" s="6" t="s">
        <v>14</v>
      </c>
      <c r="B120" s="6" t="s">
        <v>41</v>
      </c>
      <c r="C120" s="9">
        <v>2025</v>
      </c>
      <c r="D120" s="6" t="s">
        <v>20</v>
      </c>
      <c r="E120" s="10">
        <v>14.394</v>
      </c>
      <c r="F120" s="10">
        <v>0.85388135593220338</v>
      </c>
      <c r="G120" s="9">
        <v>23.9599302874892</v>
      </c>
      <c r="H120" s="11">
        <v>45758</v>
      </c>
      <c r="I120" s="11">
        <v>45940</v>
      </c>
      <c r="J120" s="9">
        <v>149.12308510638297</v>
      </c>
      <c r="K120" s="9">
        <v>74.561542553191487</v>
      </c>
      <c r="N120" s="10"/>
      <c r="O120" s="10"/>
    </row>
    <row r="121" spans="1:15" x14ac:dyDescent="0.2">
      <c r="A121" s="6" t="s">
        <v>17</v>
      </c>
      <c r="B121" s="6" t="s">
        <v>108</v>
      </c>
      <c r="C121" s="9">
        <v>2024</v>
      </c>
      <c r="D121" s="6" t="s">
        <v>20</v>
      </c>
      <c r="E121" s="10">
        <v>14.53</v>
      </c>
      <c r="F121" s="10">
        <v>1.1826744186046509</v>
      </c>
      <c r="G121" s="9">
        <v>23.757357750163507</v>
      </c>
      <c r="H121" s="11">
        <v>45331</v>
      </c>
      <c r="I121" s="11">
        <v>45497</v>
      </c>
      <c r="J121" s="9">
        <v>221.82383419689117</v>
      </c>
      <c r="K121" s="9">
        <v>147.88255613126077</v>
      </c>
      <c r="N121" s="10"/>
      <c r="O121" s="10"/>
    </row>
    <row r="122" spans="1:15" x14ac:dyDescent="0.2">
      <c r="A122" s="6" t="s">
        <v>18</v>
      </c>
      <c r="B122" s="6" t="s">
        <v>109</v>
      </c>
      <c r="C122" s="9">
        <v>2023</v>
      </c>
      <c r="D122" s="6" t="s">
        <v>20</v>
      </c>
      <c r="E122" s="10">
        <v>17.2</v>
      </c>
      <c r="F122" s="10">
        <v>0.84195804195804202</v>
      </c>
      <c r="G122" s="9">
        <v>23.730618844870737</v>
      </c>
      <c r="H122" s="11">
        <v>45033</v>
      </c>
      <c r="I122" s="11">
        <v>45233</v>
      </c>
      <c r="J122" s="9">
        <v>178.02154385964914</v>
      </c>
      <c r="K122" s="9">
        <v>113.75178521383332</v>
      </c>
      <c r="N122" s="10"/>
      <c r="O122" s="10"/>
    </row>
    <row r="123" spans="1:15" x14ac:dyDescent="0.2">
      <c r="A123" s="6" t="s">
        <v>11</v>
      </c>
      <c r="B123" s="6" t="s">
        <v>105</v>
      </c>
      <c r="C123" s="9">
        <v>2019</v>
      </c>
      <c r="D123" s="6" t="s">
        <v>20</v>
      </c>
      <c r="E123" s="10">
        <v>12.916591746031743</v>
      </c>
      <c r="F123" s="10">
        <v>0.56865498252969937</v>
      </c>
      <c r="G123" s="9">
        <v>23.223372460681119</v>
      </c>
      <c r="H123" s="11">
        <v>43734</v>
      </c>
      <c r="I123" s="11">
        <v>43962</v>
      </c>
      <c r="J123" s="9">
        <v>170.75987906659853</v>
      </c>
      <c r="K123" s="9" t="s">
        <v>390</v>
      </c>
      <c r="N123" s="10"/>
      <c r="O123" s="10"/>
    </row>
    <row r="124" spans="1:15" x14ac:dyDescent="0.2">
      <c r="A124" s="6" t="s">
        <v>11</v>
      </c>
      <c r="B124" s="6" t="s">
        <v>110</v>
      </c>
      <c r="C124" s="9">
        <v>2019</v>
      </c>
      <c r="D124" s="6" t="s">
        <v>20</v>
      </c>
      <c r="E124" s="10">
        <v>14.206051282051282</v>
      </c>
      <c r="F124" s="10">
        <v>0.51258947924927301</v>
      </c>
      <c r="G124" s="9">
        <v>22.889714260570319</v>
      </c>
      <c r="H124" s="11">
        <v>43720</v>
      </c>
      <c r="I124" s="11">
        <v>43983</v>
      </c>
      <c r="J124" s="9">
        <v>165.1867841142824</v>
      </c>
      <c r="K124" s="9" t="s">
        <v>390</v>
      </c>
      <c r="N124" s="10"/>
      <c r="O124" s="10"/>
    </row>
    <row r="125" spans="1:15" x14ac:dyDescent="0.2">
      <c r="A125" s="6" t="s">
        <v>16</v>
      </c>
      <c r="B125" s="6" t="s">
        <v>111</v>
      </c>
      <c r="C125" s="9">
        <v>2025</v>
      </c>
      <c r="D125" s="6" t="s">
        <v>20</v>
      </c>
      <c r="E125" s="10">
        <v>17.87</v>
      </c>
      <c r="F125" s="10">
        <v>0.85678082191780824</v>
      </c>
      <c r="G125" s="9">
        <v>22.886782786885245</v>
      </c>
      <c r="H125" s="11">
        <v>45729</v>
      </c>
      <c r="I125" s="11">
        <v>45950</v>
      </c>
      <c r="J125" s="9">
        <v>201.68265682656826</v>
      </c>
      <c r="K125" s="9">
        <v>161.34612546125462</v>
      </c>
      <c r="N125" s="10"/>
      <c r="O125" s="10"/>
    </row>
    <row r="126" spans="1:15" x14ac:dyDescent="0.2">
      <c r="A126" s="6" t="s">
        <v>17</v>
      </c>
      <c r="B126" s="6" t="s">
        <v>112</v>
      </c>
      <c r="C126" s="9">
        <v>2022</v>
      </c>
      <c r="D126" s="6" t="s">
        <v>20</v>
      </c>
      <c r="E126" s="10">
        <v>15.59</v>
      </c>
      <c r="F126" s="10">
        <v>0.8459689922480621</v>
      </c>
      <c r="G126" s="9">
        <v>22.554976851851851</v>
      </c>
      <c r="H126" s="11">
        <v>44760</v>
      </c>
      <c r="I126" s="11">
        <v>44935</v>
      </c>
      <c r="J126" s="9">
        <v>258.73796791443851</v>
      </c>
      <c r="K126" s="9">
        <v>258.73796791443851</v>
      </c>
      <c r="N126" s="10"/>
      <c r="O126" s="10"/>
    </row>
    <row r="127" spans="1:15" x14ac:dyDescent="0.2">
      <c r="A127" s="6" t="s">
        <v>17</v>
      </c>
      <c r="B127" s="6" t="s">
        <v>70</v>
      </c>
      <c r="C127" s="9">
        <v>2025</v>
      </c>
      <c r="D127" s="6" t="s">
        <v>20</v>
      </c>
      <c r="E127" s="10">
        <v>15.71</v>
      </c>
      <c r="F127" s="10">
        <v>0.91641666666666677</v>
      </c>
      <c r="G127" s="9">
        <v>22.021306419960752</v>
      </c>
      <c r="H127" s="11">
        <v>45729</v>
      </c>
      <c r="I127" s="11">
        <v>45925</v>
      </c>
      <c r="J127" s="9">
        <v>192.81081081081081</v>
      </c>
      <c r="K127" s="9">
        <v>142.82282282282281</v>
      </c>
      <c r="N127" s="10"/>
      <c r="O127" s="10"/>
    </row>
    <row r="128" spans="1:15" x14ac:dyDescent="0.2">
      <c r="A128" s="6" t="s">
        <v>17</v>
      </c>
      <c r="B128" s="6" t="s">
        <v>113</v>
      </c>
      <c r="C128" s="9">
        <v>2022</v>
      </c>
      <c r="D128" s="6" t="s">
        <v>20</v>
      </c>
      <c r="E128" s="10">
        <v>12.07</v>
      </c>
      <c r="F128" s="10">
        <v>0.75437500000000002</v>
      </c>
      <c r="G128" s="9">
        <v>20.558678249020609</v>
      </c>
      <c r="H128" s="11">
        <v>44760</v>
      </c>
      <c r="I128" s="11">
        <v>44935</v>
      </c>
      <c r="J128" s="9">
        <v>219.77005347593581</v>
      </c>
      <c r="K128" s="9">
        <v>219.77005347593581</v>
      </c>
      <c r="N128" s="10"/>
      <c r="O128" s="10"/>
    </row>
    <row r="129" spans="1:15" x14ac:dyDescent="0.2">
      <c r="A129" s="6" t="s">
        <v>16</v>
      </c>
      <c r="B129" s="6" t="s">
        <v>114</v>
      </c>
      <c r="C129" s="9">
        <v>2023</v>
      </c>
      <c r="D129" s="6" t="s">
        <v>20</v>
      </c>
      <c r="E129" s="10">
        <v>11.27</v>
      </c>
      <c r="F129" s="10">
        <v>0.95048192771084328</v>
      </c>
      <c r="G129" s="9">
        <v>20.309965759596324</v>
      </c>
      <c r="H129" s="11">
        <v>44977</v>
      </c>
      <c r="I129" s="11">
        <v>45125</v>
      </c>
      <c r="J129" s="9">
        <v>191.34482758620689</v>
      </c>
      <c r="K129" s="9">
        <v>141.73690932311621</v>
      </c>
      <c r="N129" s="10"/>
      <c r="O129" s="10"/>
    </row>
    <row r="130" spans="1:15" x14ac:dyDescent="0.2">
      <c r="A130" s="6" t="s">
        <v>17</v>
      </c>
      <c r="B130" s="6" t="s">
        <v>115</v>
      </c>
      <c r="C130" s="9">
        <v>2024</v>
      </c>
      <c r="D130" s="6" t="s">
        <v>20</v>
      </c>
      <c r="E130" s="10">
        <v>5.3</v>
      </c>
      <c r="F130" s="10">
        <v>0.38645833333333335</v>
      </c>
      <c r="G130" s="9">
        <v>20.022667170381563</v>
      </c>
      <c r="H130" s="11">
        <v>45526</v>
      </c>
      <c r="I130" s="11">
        <v>45712</v>
      </c>
      <c r="J130" s="9">
        <v>90.385365853658541</v>
      </c>
      <c r="K130" s="9">
        <v>90.385365853658541</v>
      </c>
      <c r="N130" s="10"/>
      <c r="O130" s="10"/>
    </row>
    <row r="131" spans="1:15" x14ac:dyDescent="0.2">
      <c r="A131" s="6" t="s">
        <v>17</v>
      </c>
      <c r="B131" s="6" t="s">
        <v>116</v>
      </c>
      <c r="C131" s="9">
        <v>2023</v>
      </c>
      <c r="D131" s="6" t="s">
        <v>20</v>
      </c>
      <c r="E131" s="10">
        <v>9.41</v>
      </c>
      <c r="F131" s="10">
        <v>0.91486111111111101</v>
      </c>
      <c r="G131" s="9">
        <v>19.302564102564101</v>
      </c>
      <c r="H131" s="11">
        <v>44971</v>
      </c>
      <c r="I131" s="11">
        <v>45115</v>
      </c>
      <c r="J131" s="9">
        <v>195</v>
      </c>
      <c r="K131" s="9">
        <v>144.44444444444443</v>
      </c>
      <c r="N131" s="10"/>
      <c r="O131" s="10"/>
    </row>
    <row r="132" spans="1:15" x14ac:dyDescent="0.2">
      <c r="A132" s="6" t="s">
        <v>17</v>
      </c>
      <c r="B132" s="6" t="s">
        <v>117</v>
      </c>
      <c r="C132" s="9">
        <v>2025</v>
      </c>
      <c r="D132" s="6" t="s">
        <v>20</v>
      </c>
      <c r="E132" s="10">
        <v>15.44</v>
      </c>
      <c r="F132" s="10">
        <v>0.90066666666666662</v>
      </c>
      <c r="G132" s="9">
        <v>18.658610271903324</v>
      </c>
      <c r="H132" s="11">
        <v>45729</v>
      </c>
      <c r="I132" s="11">
        <v>45925</v>
      </c>
      <c r="J132" s="9">
        <v>214.53703703703704</v>
      </c>
      <c r="K132" s="9">
        <v>165.02849002849001</v>
      </c>
      <c r="N132" s="10"/>
      <c r="O132" s="10"/>
    </row>
    <row r="133" spans="1:15" x14ac:dyDescent="0.2">
      <c r="A133" s="6" t="s">
        <v>12</v>
      </c>
      <c r="B133" s="6" t="s">
        <v>118</v>
      </c>
      <c r="C133" s="9">
        <v>2021</v>
      </c>
      <c r="D133" s="6" t="s">
        <v>20</v>
      </c>
      <c r="E133" s="10">
        <v>11.39</v>
      </c>
      <c r="F133" s="10">
        <v>0.59947368421052638</v>
      </c>
      <c r="G133" s="9">
        <v>17.791315213995627</v>
      </c>
      <c r="H133" s="11">
        <v>44344</v>
      </c>
      <c r="I133" s="11">
        <v>44551</v>
      </c>
      <c r="J133" s="9">
        <v>137.04587155963301</v>
      </c>
      <c r="K133" s="9" t="s">
        <v>390</v>
      </c>
      <c r="N133" s="10"/>
      <c r="O133" s="10"/>
    </row>
    <row r="134" spans="1:15" x14ac:dyDescent="0.2">
      <c r="A134" s="6" t="s">
        <v>11</v>
      </c>
      <c r="B134" s="6" t="s">
        <v>119</v>
      </c>
      <c r="C134" s="9">
        <v>2019</v>
      </c>
      <c r="D134" s="6" t="s">
        <v>20</v>
      </c>
      <c r="E134" s="10">
        <v>13.370564102564099</v>
      </c>
      <c r="F134" s="10">
        <v>0.6881907993966816</v>
      </c>
      <c r="G134" s="9">
        <v>17.750889994766343</v>
      </c>
      <c r="H134" s="11">
        <v>43608</v>
      </c>
      <c r="I134" s="11">
        <v>43822</v>
      </c>
      <c r="J134" s="9">
        <v>246.38477320298392</v>
      </c>
      <c r="K134" s="9" t="s">
        <v>390</v>
      </c>
      <c r="N134" s="10"/>
      <c r="O134" s="10"/>
    </row>
    <row r="135" spans="1:15" x14ac:dyDescent="0.2">
      <c r="A135" s="6" t="s">
        <v>13</v>
      </c>
      <c r="B135" s="6" t="s">
        <v>120</v>
      </c>
      <c r="C135" s="9">
        <v>2026</v>
      </c>
      <c r="D135" s="6" t="s">
        <v>20</v>
      </c>
      <c r="E135" s="10">
        <v>3.5</v>
      </c>
      <c r="F135" s="10">
        <v>0.59756097560975618</v>
      </c>
      <c r="G135" s="9">
        <v>17.508754377188595</v>
      </c>
      <c r="H135" s="11">
        <v>45958</v>
      </c>
      <c r="I135" s="11">
        <v>46099</v>
      </c>
      <c r="J135" s="9">
        <v>81.354651162790688</v>
      </c>
      <c r="K135" s="9">
        <v>101.69331395348836</v>
      </c>
      <c r="N135" s="10"/>
      <c r="O135" s="10"/>
    </row>
    <row r="136" spans="1:15" x14ac:dyDescent="0.2">
      <c r="A136" s="6" t="s">
        <v>17</v>
      </c>
      <c r="B136" s="6" t="s">
        <v>108</v>
      </c>
      <c r="C136" s="9">
        <v>2024</v>
      </c>
      <c r="D136" s="6" t="s">
        <v>20</v>
      </c>
      <c r="E136" s="10">
        <v>7.3</v>
      </c>
      <c r="F136" s="10">
        <v>0.44051724137931031</v>
      </c>
      <c r="G136" s="9">
        <v>16.291006471769695</v>
      </c>
      <c r="H136" s="11">
        <v>45513</v>
      </c>
      <c r="I136" s="11">
        <v>45699</v>
      </c>
      <c r="J136" s="9">
        <v>146.57476635514018</v>
      </c>
      <c r="K136" s="9">
        <v>139.59501557632399</v>
      </c>
      <c r="N136" s="10"/>
      <c r="O136" s="10"/>
    </row>
    <row r="137" spans="1:15" x14ac:dyDescent="0.2">
      <c r="A137" s="6" t="s">
        <v>16</v>
      </c>
      <c r="B137" s="6" t="s">
        <v>121</v>
      </c>
      <c r="C137" s="9">
        <v>2022</v>
      </c>
      <c r="D137" s="6" t="s">
        <v>20</v>
      </c>
      <c r="E137" s="10">
        <v>8.27</v>
      </c>
      <c r="F137" s="10">
        <v>0.61585106382978716</v>
      </c>
      <c r="G137" s="9">
        <v>12.797895388424637</v>
      </c>
      <c r="H137" s="11">
        <v>44712</v>
      </c>
      <c r="I137" s="11">
        <v>44868</v>
      </c>
      <c r="J137" s="9">
        <v>207.49541284403671</v>
      </c>
      <c r="K137" s="9">
        <v>153.70030581039754</v>
      </c>
      <c r="N137" s="10"/>
      <c r="O137" s="10"/>
    </row>
    <row r="138" spans="1:15" x14ac:dyDescent="0.2">
      <c r="A138" s="6" t="s">
        <v>17</v>
      </c>
      <c r="B138" s="6" t="s">
        <v>388</v>
      </c>
      <c r="C138" s="9">
        <v>2023</v>
      </c>
      <c r="D138" s="6" t="s">
        <v>20</v>
      </c>
      <c r="E138" s="10">
        <v>7.49</v>
      </c>
      <c r="F138" s="10">
        <v>0.36664335664335668</v>
      </c>
      <c r="G138" s="9">
        <v>11.074966730740796</v>
      </c>
      <c r="H138" s="11">
        <v>45051</v>
      </c>
      <c r="I138" s="11">
        <v>45264</v>
      </c>
      <c r="J138" s="9">
        <v>186.38188976377953</v>
      </c>
      <c r="K138" s="9">
        <v>169.43808160343593</v>
      </c>
      <c r="N138" s="10"/>
      <c r="O138" s="10"/>
    </row>
    <row r="139" spans="1:15" x14ac:dyDescent="0.2">
      <c r="A139" s="6" t="s">
        <v>16</v>
      </c>
      <c r="B139" s="6" t="s">
        <v>123</v>
      </c>
      <c r="C139" s="9">
        <v>2022</v>
      </c>
      <c r="D139" s="6" t="s">
        <v>20</v>
      </c>
      <c r="E139" s="10">
        <v>6.12</v>
      </c>
      <c r="F139" s="10">
        <v>0.44625000000000004</v>
      </c>
      <c r="G139" s="9">
        <v>11.023054755043228</v>
      </c>
      <c r="H139" s="11">
        <v>44712</v>
      </c>
      <c r="I139" s="11">
        <v>44863</v>
      </c>
      <c r="J139" s="9">
        <v>179.09677419354838</v>
      </c>
      <c r="K139" s="9">
        <v>146.80063458487572</v>
      </c>
      <c r="N139" s="10"/>
      <c r="O139" s="10"/>
    </row>
    <row r="140" spans="1:15" x14ac:dyDescent="0.2">
      <c r="A140" s="6" t="s">
        <v>16</v>
      </c>
      <c r="B140" s="6" t="s">
        <v>122</v>
      </c>
      <c r="C140" s="9">
        <v>2022</v>
      </c>
      <c r="D140" s="6" t="s">
        <v>20</v>
      </c>
      <c r="E140" s="10">
        <v>6.1</v>
      </c>
      <c r="F140" s="10">
        <v>0.45425531914893613</v>
      </c>
      <c r="G140" s="9">
        <v>9.5282724148703526</v>
      </c>
      <c r="H140" s="11">
        <v>44712</v>
      </c>
      <c r="I140" s="11">
        <v>44868</v>
      </c>
      <c r="J140" s="9">
        <v>205.56880733944953</v>
      </c>
      <c r="K140" s="9">
        <v>152.27319062181445</v>
      </c>
      <c r="N140" s="10"/>
      <c r="O140" s="10"/>
    </row>
    <row r="141" spans="1:15" x14ac:dyDescent="0.2">
      <c r="A141" s="6" t="s">
        <v>16</v>
      </c>
      <c r="B141" s="6" t="s">
        <v>124</v>
      </c>
      <c r="C141" s="9">
        <v>2022</v>
      </c>
      <c r="D141" s="6" t="s">
        <v>382</v>
      </c>
      <c r="E141" s="10">
        <v>8.61</v>
      </c>
      <c r="F141" s="10">
        <v>0.95666666666666655</v>
      </c>
      <c r="G141" s="9">
        <v>22.807947019867548</v>
      </c>
      <c r="H141" s="11">
        <v>44617</v>
      </c>
      <c r="I141" s="11">
        <v>44764</v>
      </c>
      <c r="J141" s="9">
        <v>145.99447513812154</v>
      </c>
      <c r="K141" s="9">
        <v>145.99447513812154</v>
      </c>
      <c r="N141" s="10"/>
      <c r="O141" s="10"/>
    </row>
    <row r="142" spans="1:15" x14ac:dyDescent="0.2">
      <c r="A142" s="6" t="s">
        <v>11</v>
      </c>
      <c r="B142" s="6" t="s">
        <v>125</v>
      </c>
      <c r="C142" s="9">
        <v>2024</v>
      </c>
      <c r="D142" s="6" t="s">
        <v>382</v>
      </c>
      <c r="E142" s="10">
        <v>10.35</v>
      </c>
      <c r="F142" s="10">
        <v>0.94090909090909092</v>
      </c>
      <c r="G142" s="9">
        <v>22.519582245430808</v>
      </c>
      <c r="H142" s="11">
        <v>45274</v>
      </c>
      <c r="I142" s="11">
        <v>45440</v>
      </c>
      <c r="J142" s="9">
        <v>127.16205533596838</v>
      </c>
      <c r="K142" s="9">
        <v>68.92252321732704</v>
      </c>
      <c r="N142" s="10"/>
      <c r="O142" s="10"/>
    </row>
    <row r="143" spans="1:15" x14ac:dyDescent="0.2">
      <c r="A143" s="6" t="s">
        <v>14</v>
      </c>
      <c r="B143" s="6" t="s">
        <v>126</v>
      </c>
      <c r="C143" s="9">
        <v>2022</v>
      </c>
      <c r="D143" s="6" t="s">
        <v>382</v>
      </c>
      <c r="E143" s="10">
        <v>7.29</v>
      </c>
      <c r="F143" s="10">
        <v>0.55467391304347824</v>
      </c>
      <c r="G143" s="9">
        <v>21.898468008410934</v>
      </c>
      <c r="H143" s="11">
        <v>44681</v>
      </c>
      <c r="I143" s="11">
        <v>44832</v>
      </c>
      <c r="J143" s="9">
        <v>145.64374999999998</v>
      </c>
      <c r="K143" s="9">
        <v>115.59027777777776</v>
      </c>
      <c r="N143" s="10"/>
      <c r="O143" s="10"/>
    </row>
    <row r="144" spans="1:15" x14ac:dyDescent="0.2">
      <c r="A144" s="6" t="s">
        <v>13</v>
      </c>
      <c r="B144" s="6" t="s">
        <v>124</v>
      </c>
      <c r="C144" s="9">
        <v>2025</v>
      </c>
      <c r="D144" s="6" t="s">
        <v>382</v>
      </c>
      <c r="E144" s="10">
        <v>10.4</v>
      </c>
      <c r="F144" s="10">
        <v>0.71372549019607845</v>
      </c>
      <c r="G144" s="9">
        <v>20.034675399730304</v>
      </c>
      <c r="H144" s="11">
        <v>45777</v>
      </c>
      <c r="I144" s="11">
        <v>45937</v>
      </c>
      <c r="J144" s="9">
        <v>170.59624413145542</v>
      </c>
      <c r="K144" s="9">
        <v>106.62265258215963</v>
      </c>
      <c r="N144" s="10"/>
      <c r="O144" s="10"/>
    </row>
    <row r="145" spans="1:15" x14ac:dyDescent="0.2">
      <c r="A145" s="6" t="s">
        <v>17</v>
      </c>
      <c r="B145" s="6" t="s">
        <v>127</v>
      </c>
      <c r="C145" s="9">
        <v>2023</v>
      </c>
      <c r="D145" s="6" t="s">
        <v>382</v>
      </c>
      <c r="E145" s="10">
        <v>12.34</v>
      </c>
      <c r="F145" s="10">
        <v>1.5425</v>
      </c>
      <c r="G145" s="9">
        <v>18.08058608058608</v>
      </c>
      <c r="H145" s="11">
        <v>44978</v>
      </c>
      <c r="I145" s="11">
        <v>45128</v>
      </c>
      <c r="J145" s="9">
        <v>287.80120481927707</v>
      </c>
      <c r="K145" s="9">
        <v>230.24096385542165</v>
      </c>
      <c r="N145" s="10"/>
      <c r="O145" s="10"/>
    </row>
    <row r="146" spans="1:15" x14ac:dyDescent="0.2">
      <c r="A146" s="6" t="s">
        <v>16</v>
      </c>
      <c r="B146" s="6" t="s">
        <v>124</v>
      </c>
      <c r="C146" s="9">
        <v>2023</v>
      </c>
      <c r="D146" s="6" t="s">
        <v>382</v>
      </c>
      <c r="E146" s="10">
        <v>10.42</v>
      </c>
      <c r="F146" s="10">
        <v>0.81044444444444441</v>
      </c>
      <c r="G146" s="9">
        <v>15.001439677512238</v>
      </c>
      <c r="H146" s="11">
        <v>44972</v>
      </c>
      <c r="I146" s="11">
        <v>45141</v>
      </c>
      <c r="J146" s="9">
        <v>232.64114832535884</v>
      </c>
      <c r="K146" s="9">
        <v>186.11291866028708</v>
      </c>
      <c r="N146" s="10"/>
      <c r="O146" s="10"/>
    </row>
    <row r="147" spans="1:15" x14ac:dyDescent="0.2">
      <c r="A147" s="6" t="s">
        <v>16</v>
      </c>
      <c r="B147" s="6" t="s">
        <v>124</v>
      </c>
      <c r="C147" s="9">
        <v>2024</v>
      </c>
      <c r="D147" s="6" t="s">
        <v>382</v>
      </c>
      <c r="E147" s="10">
        <v>16.21</v>
      </c>
      <c r="F147" s="10">
        <v>0.62346153846153851</v>
      </c>
      <c r="G147" s="9">
        <v>14.857928505957837</v>
      </c>
      <c r="H147" s="11">
        <v>45331</v>
      </c>
      <c r="I147" s="11">
        <v>45594</v>
      </c>
      <c r="J147" s="9">
        <v>198.88020833333334</v>
      </c>
      <c r="K147" s="9">
        <v>159.10416666666669</v>
      </c>
      <c r="N147" s="10"/>
      <c r="O147" s="10"/>
    </row>
    <row r="148" spans="1:15" x14ac:dyDescent="0.2">
      <c r="A148" s="6" t="s">
        <v>16</v>
      </c>
      <c r="B148" s="6" t="s">
        <v>124</v>
      </c>
      <c r="C148" s="9">
        <v>2023</v>
      </c>
      <c r="D148" s="6" t="s">
        <v>382</v>
      </c>
      <c r="E148" s="10">
        <v>8.81</v>
      </c>
      <c r="F148" s="10">
        <v>0.50549180327868859</v>
      </c>
      <c r="G148" s="9">
        <v>12.441745516170032</v>
      </c>
      <c r="H148" s="11">
        <v>45090</v>
      </c>
      <c r="I148" s="11">
        <v>45267</v>
      </c>
      <c r="J148" s="9">
        <v>260.87894736842105</v>
      </c>
      <c r="K148" s="9">
        <v>208.70315789473685</v>
      </c>
      <c r="N148" s="10"/>
      <c r="O148" s="10"/>
    </row>
    <row r="149" spans="1:15" x14ac:dyDescent="0.2">
      <c r="A149" s="6" t="s">
        <v>16</v>
      </c>
      <c r="B149" s="6" t="s">
        <v>124</v>
      </c>
      <c r="C149" s="9">
        <v>2022</v>
      </c>
      <c r="D149" s="6" t="s">
        <v>382</v>
      </c>
      <c r="E149" s="10">
        <v>5.9</v>
      </c>
      <c r="F149" s="10">
        <v>0.4588888888888889</v>
      </c>
      <c r="G149" s="9">
        <v>10.459138450629322</v>
      </c>
      <c r="H149" s="11">
        <v>44778</v>
      </c>
      <c r="I149" s="11">
        <v>44935</v>
      </c>
      <c r="J149" s="9">
        <v>242.2515337423313</v>
      </c>
      <c r="K149" s="9">
        <v>173.03680981595093</v>
      </c>
      <c r="N149" s="10"/>
      <c r="O149" s="10"/>
    </row>
    <row r="150" spans="1:15" x14ac:dyDescent="0.2">
      <c r="A150" s="6" t="s">
        <v>16</v>
      </c>
      <c r="B150" s="6" t="s">
        <v>128</v>
      </c>
      <c r="C150" s="9">
        <v>2023</v>
      </c>
      <c r="D150" s="6" t="s">
        <v>382</v>
      </c>
      <c r="E150" s="10">
        <v>5.91</v>
      </c>
      <c r="F150" s="10">
        <v>0.32574803149606302</v>
      </c>
      <c r="G150" s="9">
        <v>8.5602549246813435</v>
      </c>
      <c r="H150" s="11">
        <v>45089</v>
      </c>
      <c r="I150" s="11">
        <v>45267</v>
      </c>
      <c r="J150" s="9">
        <v>226.89201877934272</v>
      </c>
      <c r="K150" s="9">
        <v>189.07668231611893</v>
      </c>
      <c r="N150" s="10"/>
      <c r="O150" s="10"/>
    </row>
    <row r="151" spans="1:15" x14ac:dyDescent="0.2">
      <c r="A151" s="6" t="s">
        <v>11</v>
      </c>
      <c r="B151" s="6" t="s">
        <v>129</v>
      </c>
      <c r="C151" s="9">
        <v>2023</v>
      </c>
      <c r="D151" s="6" t="s">
        <v>130</v>
      </c>
      <c r="E151" s="10">
        <v>24.122072616598079</v>
      </c>
      <c r="F151" s="10">
        <v>1.8555440474306215</v>
      </c>
      <c r="G151" s="9">
        <v>61.867331666063301</v>
      </c>
      <c r="H151" s="11">
        <v>44915</v>
      </c>
      <c r="I151" s="11">
        <v>45104</v>
      </c>
      <c r="J151" s="9">
        <v>137.15075376884423</v>
      </c>
      <c r="K151" s="9">
        <v>89.641015535192309</v>
      </c>
      <c r="N151" s="10"/>
      <c r="O151" s="10"/>
    </row>
    <row r="152" spans="1:15" x14ac:dyDescent="0.2">
      <c r="A152" s="6" t="s">
        <v>11</v>
      </c>
      <c r="B152" s="6" t="s">
        <v>131</v>
      </c>
      <c r="C152" s="9">
        <v>2023</v>
      </c>
      <c r="D152" s="6" t="s">
        <v>130</v>
      </c>
      <c r="E152" s="10">
        <v>25.301253429355281</v>
      </c>
      <c r="F152" s="10">
        <v>1.9043954194138382</v>
      </c>
      <c r="G152" s="9">
        <v>60.966875733386217</v>
      </c>
      <c r="H152" s="11">
        <v>44915</v>
      </c>
      <c r="I152" s="11">
        <v>45105</v>
      </c>
      <c r="J152" s="9">
        <v>145.97989949748745</v>
      </c>
      <c r="K152" s="9">
        <v>95.41169901796566</v>
      </c>
      <c r="N152" s="10"/>
      <c r="O152" s="10"/>
    </row>
    <row r="153" spans="1:15" x14ac:dyDescent="0.2">
      <c r="A153" s="6" t="s">
        <v>14</v>
      </c>
      <c r="B153" s="6" t="s">
        <v>132</v>
      </c>
      <c r="C153" s="9">
        <v>2024</v>
      </c>
      <c r="D153" s="6" t="s">
        <v>130</v>
      </c>
      <c r="E153" s="10">
        <v>28.07</v>
      </c>
      <c r="F153" s="10">
        <v>1.2759090909090909</v>
      </c>
      <c r="G153" s="9">
        <v>54.454417946872503</v>
      </c>
      <c r="H153" s="11">
        <v>45398</v>
      </c>
      <c r="I153" s="11">
        <v>45625</v>
      </c>
      <c r="J153" s="9">
        <v>121.90334459459461</v>
      </c>
      <c r="K153" s="9">
        <v>88.980543499704098</v>
      </c>
      <c r="N153" s="10"/>
      <c r="O153" s="10"/>
    </row>
    <row r="154" spans="1:15" x14ac:dyDescent="0.2">
      <c r="A154" s="6" t="s">
        <v>13</v>
      </c>
      <c r="B154" s="6" t="s">
        <v>133</v>
      </c>
      <c r="C154" s="9">
        <v>2025</v>
      </c>
      <c r="D154" s="6" t="s">
        <v>130</v>
      </c>
      <c r="E154" s="10">
        <v>19.399999999999999</v>
      </c>
      <c r="F154" s="10">
        <v>1.4294736842105262</v>
      </c>
      <c r="G154" s="9">
        <v>54.114365411436545</v>
      </c>
      <c r="H154" s="11">
        <v>45643</v>
      </c>
      <c r="I154" s="11">
        <v>45831</v>
      </c>
      <c r="J154" s="9">
        <v>124.23267326732673</v>
      </c>
      <c r="K154" s="9">
        <v>95.563594821020558</v>
      </c>
      <c r="N154" s="10"/>
      <c r="O154" s="10"/>
    </row>
    <row r="155" spans="1:15" x14ac:dyDescent="0.2">
      <c r="A155" s="6" t="s">
        <v>12</v>
      </c>
      <c r="B155" s="6" t="s">
        <v>134</v>
      </c>
      <c r="C155" s="9">
        <v>2022</v>
      </c>
      <c r="D155" s="6" t="s">
        <v>130</v>
      </c>
      <c r="E155" s="10">
        <v>14.13</v>
      </c>
      <c r="F155" s="10">
        <v>1.57</v>
      </c>
      <c r="G155" s="9">
        <v>52.005888847994115</v>
      </c>
      <c r="H155" s="11">
        <v>44565</v>
      </c>
      <c r="I155" s="11">
        <v>44711</v>
      </c>
      <c r="J155" s="9">
        <v>127.64429530201343</v>
      </c>
      <c r="K155" s="9" t="s">
        <v>390</v>
      </c>
      <c r="N155" s="10"/>
      <c r="O155" s="10"/>
    </row>
    <row r="156" spans="1:15" x14ac:dyDescent="0.2">
      <c r="A156" s="6" t="s">
        <v>11</v>
      </c>
      <c r="B156" s="6" t="s">
        <v>135</v>
      </c>
      <c r="C156" s="9">
        <v>2024</v>
      </c>
      <c r="D156" s="6" t="s">
        <v>130</v>
      </c>
      <c r="E156" s="10">
        <v>16.010000000000002</v>
      </c>
      <c r="F156" s="10">
        <v>1.6726865671641793</v>
      </c>
      <c r="G156" s="9">
        <v>50.393452943028024</v>
      </c>
      <c r="H156" s="11">
        <v>45280</v>
      </c>
      <c r="I156" s="11">
        <v>45440</v>
      </c>
      <c r="J156" s="9">
        <v>126.35795454545455</v>
      </c>
      <c r="K156" s="9">
        <v>82.586898395721931</v>
      </c>
      <c r="N156" s="10"/>
      <c r="O156" s="10"/>
    </row>
    <row r="157" spans="1:15" x14ac:dyDescent="0.2">
      <c r="A157" s="6" t="s">
        <v>14</v>
      </c>
      <c r="B157" s="6" t="s">
        <v>136</v>
      </c>
      <c r="C157" s="9">
        <v>2024</v>
      </c>
      <c r="D157" s="6" t="s">
        <v>130</v>
      </c>
      <c r="E157" s="10">
        <v>26.63</v>
      </c>
      <c r="F157" s="10">
        <v>1.2104545454545454</v>
      </c>
      <c r="G157" s="9">
        <v>49.915932048352659</v>
      </c>
      <c r="H157" s="11">
        <v>45398</v>
      </c>
      <c r="I157" s="11">
        <v>45625</v>
      </c>
      <c r="J157" s="9">
        <v>121.64426710097722</v>
      </c>
      <c r="K157" s="9">
        <v>90.106864519242379</v>
      </c>
      <c r="N157" s="10"/>
      <c r="O157" s="10"/>
    </row>
    <row r="158" spans="1:15" x14ac:dyDescent="0.2">
      <c r="A158" s="6" t="s">
        <v>14</v>
      </c>
      <c r="B158" s="6" t="s">
        <v>137</v>
      </c>
      <c r="C158" s="9">
        <v>2023</v>
      </c>
      <c r="D158" s="6" t="s">
        <v>130</v>
      </c>
      <c r="E158" s="10">
        <v>18.14</v>
      </c>
      <c r="F158" s="10">
        <v>1.7159459459459461</v>
      </c>
      <c r="G158" s="9">
        <v>49.013780059443391</v>
      </c>
      <c r="H158" s="11">
        <v>45040</v>
      </c>
      <c r="I158" s="11">
        <v>45181</v>
      </c>
      <c r="J158" s="9">
        <v>160.91304347826087</v>
      </c>
      <c r="K158" s="9">
        <v>148.30695251452616</v>
      </c>
      <c r="N158" s="10"/>
      <c r="O158" s="10"/>
    </row>
    <row r="159" spans="1:15" x14ac:dyDescent="0.2">
      <c r="A159" s="6" t="s">
        <v>12</v>
      </c>
      <c r="B159" s="6" t="s">
        <v>134</v>
      </c>
      <c r="C159" s="9">
        <v>2022</v>
      </c>
      <c r="D159" s="6" t="s">
        <v>130</v>
      </c>
      <c r="E159" s="10">
        <v>21.6</v>
      </c>
      <c r="F159" s="10">
        <v>1.4538461538461538</v>
      </c>
      <c r="G159" s="9">
        <v>48.626744709590277</v>
      </c>
      <c r="H159" s="11">
        <v>44715</v>
      </c>
      <c r="I159" s="11">
        <v>44888</v>
      </c>
      <c r="J159" s="9">
        <v>168.07567567567568</v>
      </c>
      <c r="K159" s="9" t="s">
        <v>390</v>
      </c>
      <c r="N159" s="10"/>
      <c r="O159" s="10"/>
    </row>
    <row r="160" spans="1:15" x14ac:dyDescent="0.2">
      <c r="A160" s="6" t="s">
        <v>11</v>
      </c>
      <c r="B160" s="6" t="s">
        <v>138</v>
      </c>
      <c r="C160" s="9">
        <v>2024</v>
      </c>
      <c r="D160" s="6" t="s">
        <v>130</v>
      </c>
      <c r="E160" s="10">
        <v>26.21</v>
      </c>
      <c r="F160" s="10">
        <v>1.5417647058823529</v>
      </c>
      <c r="G160" s="9">
        <v>48.54602704204482</v>
      </c>
      <c r="H160" s="11">
        <v>45412</v>
      </c>
      <c r="I160" s="11">
        <v>45603</v>
      </c>
      <c r="J160" s="9">
        <v>183.46116504854371</v>
      </c>
      <c r="K160" s="9">
        <v>119.90925820166255</v>
      </c>
      <c r="N160" s="10"/>
      <c r="O160" s="10"/>
    </row>
    <row r="161" spans="1:15" x14ac:dyDescent="0.2">
      <c r="A161" s="6" t="s">
        <v>11</v>
      </c>
      <c r="B161" s="6" t="s">
        <v>139</v>
      </c>
      <c r="C161" s="9">
        <v>2024</v>
      </c>
      <c r="D161" s="6" t="s">
        <v>130</v>
      </c>
      <c r="E161" s="10">
        <v>16.829999999999998</v>
      </c>
      <c r="F161" s="10">
        <v>1.7324999999999999</v>
      </c>
      <c r="G161" s="9">
        <v>48.209682039530215</v>
      </c>
      <c r="H161" s="11">
        <v>45279</v>
      </c>
      <c r="I161" s="11">
        <v>45441</v>
      </c>
      <c r="J161" s="9">
        <v>138.84659090909091</v>
      </c>
      <c r="K161" s="9">
        <v>90.749405822935231</v>
      </c>
      <c r="N161" s="10"/>
      <c r="O161" s="10"/>
    </row>
    <row r="162" spans="1:15" x14ac:dyDescent="0.2">
      <c r="A162" s="6" t="s">
        <v>12</v>
      </c>
      <c r="B162" s="6" t="s">
        <v>140</v>
      </c>
      <c r="C162" s="9">
        <v>2022</v>
      </c>
      <c r="D162" s="6" t="s">
        <v>130</v>
      </c>
      <c r="E162" s="10">
        <v>22.94</v>
      </c>
      <c r="F162" s="10">
        <v>1.5293333333333334</v>
      </c>
      <c r="G162" s="9">
        <v>48.162922527818601</v>
      </c>
      <c r="H162" s="11">
        <v>44713</v>
      </c>
      <c r="I162" s="11">
        <v>44889</v>
      </c>
      <c r="J162" s="9">
        <v>178.29411764705881</v>
      </c>
      <c r="K162" s="9" t="s">
        <v>390</v>
      </c>
    </row>
    <row r="163" spans="1:15" x14ac:dyDescent="0.2">
      <c r="A163" s="6" t="s">
        <v>12</v>
      </c>
      <c r="B163" s="6" t="s">
        <v>141</v>
      </c>
      <c r="C163" s="9">
        <v>2021</v>
      </c>
      <c r="D163" s="6" t="s">
        <v>130</v>
      </c>
      <c r="E163" s="10">
        <v>17.5</v>
      </c>
      <c r="F163" s="10">
        <v>1.3315217391304348</v>
      </c>
      <c r="G163" s="9">
        <v>47.792922823988221</v>
      </c>
      <c r="H163" s="11">
        <v>44246</v>
      </c>
      <c r="I163" s="11">
        <v>44398</v>
      </c>
      <c r="J163" s="9">
        <v>168.62769736842105</v>
      </c>
      <c r="K163" s="9" t="s">
        <v>390</v>
      </c>
      <c r="N163" s="10"/>
      <c r="O163" s="10"/>
    </row>
    <row r="164" spans="1:15" x14ac:dyDescent="0.2">
      <c r="A164" s="6" t="s">
        <v>11</v>
      </c>
      <c r="B164" s="6" t="s">
        <v>142</v>
      </c>
      <c r="C164" s="9">
        <v>2025</v>
      </c>
      <c r="D164" s="6" t="s">
        <v>130</v>
      </c>
      <c r="E164" s="10">
        <v>24.47</v>
      </c>
      <c r="F164" s="10">
        <v>1.3382031249999999</v>
      </c>
      <c r="G164" s="9">
        <v>45.491727086819111</v>
      </c>
      <c r="H164" s="11">
        <v>45783</v>
      </c>
      <c r="I164" s="11">
        <v>45981</v>
      </c>
      <c r="J164" s="9">
        <v>178.45023696682466</v>
      </c>
      <c r="K164" s="9">
        <v>116.63414180838213</v>
      </c>
      <c r="N164" s="10"/>
      <c r="O164" s="10"/>
    </row>
    <row r="165" spans="1:15" x14ac:dyDescent="0.2">
      <c r="A165" s="6" t="s">
        <v>12</v>
      </c>
      <c r="B165" s="6" t="s">
        <v>143</v>
      </c>
      <c r="C165" s="9">
        <v>2022</v>
      </c>
      <c r="D165" s="6" t="s">
        <v>130</v>
      </c>
      <c r="E165" s="10">
        <v>16.22</v>
      </c>
      <c r="F165" s="10">
        <v>1.8022222222222222</v>
      </c>
      <c r="G165" s="9">
        <v>45.485137408861469</v>
      </c>
      <c r="H165" s="11">
        <v>44609</v>
      </c>
      <c r="I165" s="11">
        <v>44756</v>
      </c>
      <c r="J165" s="9">
        <v>165.31125827814569</v>
      </c>
      <c r="K165" s="9" t="s">
        <v>390</v>
      </c>
      <c r="N165" s="10"/>
      <c r="O165" s="10"/>
    </row>
    <row r="166" spans="1:15" x14ac:dyDescent="0.2">
      <c r="A166" s="6" t="s">
        <v>11</v>
      </c>
      <c r="B166" s="6" t="s">
        <v>144</v>
      </c>
      <c r="C166" s="9">
        <v>2024</v>
      </c>
      <c r="D166" s="6" t="s">
        <v>130</v>
      </c>
      <c r="E166" s="10">
        <v>24.29</v>
      </c>
      <c r="F166" s="10">
        <v>1.4288235294117646</v>
      </c>
      <c r="G166" s="9">
        <v>45.17388878556816</v>
      </c>
      <c r="H166" s="11">
        <v>45412</v>
      </c>
      <c r="I166" s="11">
        <v>45603</v>
      </c>
      <c r="J166" s="9">
        <v>182.71359223300971</v>
      </c>
      <c r="K166" s="9">
        <v>119.42064851830699</v>
      </c>
      <c r="N166" s="10"/>
      <c r="O166" s="10"/>
    </row>
    <row r="167" spans="1:15" x14ac:dyDescent="0.2">
      <c r="A167" s="6" t="s">
        <v>13</v>
      </c>
      <c r="B167" s="6" t="s">
        <v>140</v>
      </c>
      <c r="C167" s="9">
        <v>2022</v>
      </c>
      <c r="D167" s="6" t="s">
        <v>130</v>
      </c>
      <c r="E167" s="10">
        <v>23.73</v>
      </c>
      <c r="F167" s="10">
        <v>1.5820000000000001</v>
      </c>
      <c r="G167" s="9">
        <v>45.019920318725099</v>
      </c>
      <c r="H167" s="11">
        <v>44712</v>
      </c>
      <c r="I167" s="11">
        <v>44887</v>
      </c>
      <c r="J167" s="9">
        <v>208.45762711864407</v>
      </c>
      <c r="K167" s="9">
        <v>148.89830508474577</v>
      </c>
      <c r="N167" s="10"/>
      <c r="O167" s="10"/>
    </row>
    <row r="168" spans="1:15" x14ac:dyDescent="0.2">
      <c r="A168" s="6" t="s">
        <v>12</v>
      </c>
      <c r="B168" s="6" t="s">
        <v>145</v>
      </c>
      <c r="C168" s="9">
        <v>2021</v>
      </c>
      <c r="D168" s="6" t="s">
        <v>130</v>
      </c>
      <c r="E168" s="10">
        <v>14.7</v>
      </c>
      <c r="F168" s="10">
        <v>0.90263157894736845</v>
      </c>
      <c r="G168" s="9">
        <v>44.572197864173049</v>
      </c>
      <c r="H168" s="11">
        <v>44397</v>
      </c>
      <c r="I168" s="11">
        <v>44571</v>
      </c>
      <c r="J168" s="9">
        <v>132.67896551724138</v>
      </c>
      <c r="K168" s="9" t="s">
        <v>390</v>
      </c>
      <c r="N168" s="10"/>
      <c r="O168" s="10"/>
    </row>
    <row r="169" spans="1:15" x14ac:dyDescent="0.2">
      <c r="A169" s="6" t="s">
        <v>13</v>
      </c>
      <c r="B169" s="6" t="s">
        <v>146</v>
      </c>
      <c r="C169" s="9">
        <v>2022</v>
      </c>
      <c r="D169" s="6" t="s">
        <v>130</v>
      </c>
      <c r="E169" s="10">
        <v>21.22</v>
      </c>
      <c r="F169" s="10">
        <v>1.7073563218390804</v>
      </c>
      <c r="G169" s="9">
        <v>44.070612668743507</v>
      </c>
      <c r="H169" s="11">
        <v>44665</v>
      </c>
      <c r="I169" s="11">
        <v>44824</v>
      </c>
      <c r="J169" s="9">
        <v>209.34782608695653</v>
      </c>
      <c r="K169" s="9">
        <v>161.03678929765886</v>
      </c>
      <c r="N169" s="10"/>
      <c r="O169" s="10"/>
    </row>
    <row r="170" spans="1:15" x14ac:dyDescent="0.2">
      <c r="A170" s="6" t="s">
        <v>11</v>
      </c>
      <c r="B170" s="6" t="s">
        <v>147</v>
      </c>
      <c r="C170" s="9">
        <v>2023</v>
      </c>
      <c r="D170" s="6" t="s">
        <v>130</v>
      </c>
      <c r="E170" s="10">
        <v>14.939494530365899</v>
      </c>
      <c r="F170" s="10">
        <v>0.85718411239804349</v>
      </c>
      <c r="G170" s="9">
        <v>43.190212576946799</v>
      </c>
      <c r="H170" s="11">
        <v>45075</v>
      </c>
      <c r="I170" s="11">
        <v>45254</v>
      </c>
      <c r="J170" s="9">
        <v>124.16923076923077</v>
      </c>
      <c r="K170" s="9">
        <v>81.156359979889388</v>
      </c>
      <c r="N170" s="10"/>
      <c r="O170" s="10"/>
    </row>
    <row r="171" spans="1:15" x14ac:dyDescent="0.2">
      <c r="A171" s="6" t="s">
        <v>18</v>
      </c>
      <c r="B171" s="6" t="s">
        <v>148</v>
      </c>
      <c r="C171" s="9">
        <v>2023</v>
      </c>
      <c r="D171" s="6" t="s">
        <v>130</v>
      </c>
      <c r="E171" s="10">
        <v>31.7</v>
      </c>
      <c r="F171" s="10">
        <v>1.585</v>
      </c>
      <c r="G171" s="9">
        <v>42.700446266809088</v>
      </c>
      <c r="H171" s="11">
        <v>45033</v>
      </c>
      <c r="I171" s="11">
        <v>45236</v>
      </c>
      <c r="J171" s="9">
        <v>182.33919298245615</v>
      </c>
      <c r="K171" s="9">
        <v>116.510666442464</v>
      </c>
      <c r="N171" s="10"/>
      <c r="O171" s="10"/>
    </row>
    <row r="172" spans="1:15" x14ac:dyDescent="0.2">
      <c r="A172" s="6" t="s">
        <v>13</v>
      </c>
      <c r="B172" s="6" t="s">
        <v>149</v>
      </c>
      <c r="C172" s="9">
        <v>2024</v>
      </c>
      <c r="D172" s="6" t="s">
        <v>130</v>
      </c>
      <c r="E172" s="10">
        <v>13.7</v>
      </c>
      <c r="F172" s="10">
        <v>1.2786666666666666</v>
      </c>
      <c r="G172" s="9">
        <v>41.402236325173767</v>
      </c>
      <c r="H172" s="11">
        <v>45274</v>
      </c>
      <c r="I172" s="11">
        <v>45444</v>
      </c>
      <c r="J172" s="9">
        <v>133.12068965517241</v>
      </c>
      <c r="K172" s="9">
        <v>133.12068965517241</v>
      </c>
      <c r="N172" s="10"/>
      <c r="O172" s="10"/>
    </row>
    <row r="173" spans="1:15" x14ac:dyDescent="0.2">
      <c r="A173" s="6" t="s">
        <v>13</v>
      </c>
      <c r="B173" s="6" t="s">
        <v>150</v>
      </c>
      <c r="C173" s="9">
        <v>2023</v>
      </c>
      <c r="D173" s="6" t="s">
        <v>130</v>
      </c>
      <c r="E173" s="10">
        <v>23.66</v>
      </c>
      <c r="F173" s="10">
        <v>1.1830000000000001</v>
      </c>
      <c r="G173" s="9">
        <v>39.824945295404817</v>
      </c>
      <c r="H173" s="11">
        <v>45036</v>
      </c>
      <c r="I173" s="11">
        <v>45245</v>
      </c>
      <c r="J173" s="9">
        <v>170.43852459016395</v>
      </c>
      <c r="K173" s="9">
        <v>131.1065573770492</v>
      </c>
      <c r="N173" s="10"/>
      <c r="O173" s="10"/>
    </row>
    <row r="174" spans="1:15" x14ac:dyDescent="0.2">
      <c r="A174" s="6" t="s">
        <v>11</v>
      </c>
      <c r="B174" s="6" t="s">
        <v>151</v>
      </c>
      <c r="C174" s="9">
        <v>2025</v>
      </c>
      <c r="D174" s="6" t="s">
        <v>130</v>
      </c>
      <c r="E174" s="10">
        <v>15.82</v>
      </c>
      <c r="F174" s="10">
        <v>0.93847457627118647</v>
      </c>
      <c r="G174" s="9">
        <v>39.294585196224538</v>
      </c>
      <c r="H174" s="11">
        <v>45820</v>
      </c>
      <c r="I174" s="11">
        <v>46001</v>
      </c>
      <c r="J174" s="9">
        <v>150.70588235294116</v>
      </c>
      <c r="K174" s="9">
        <v>107.26397320494033</v>
      </c>
      <c r="N174" s="10"/>
      <c r="O174" s="10"/>
    </row>
    <row r="175" spans="1:15" x14ac:dyDescent="0.2">
      <c r="A175" s="6" t="s">
        <v>11</v>
      </c>
      <c r="B175" s="6" t="s">
        <v>152</v>
      </c>
      <c r="C175" s="9">
        <v>2023</v>
      </c>
      <c r="D175" s="6" t="s">
        <v>130</v>
      </c>
      <c r="E175" s="10">
        <v>14.385737378976488</v>
      </c>
      <c r="F175" s="10">
        <v>0.8322327409325242</v>
      </c>
      <c r="G175" s="9">
        <v>38.796486998318471</v>
      </c>
      <c r="H175" s="11">
        <v>45075</v>
      </c>
      <c r="I175" s="11">
        <v>45253</v>
      </c>
      <c r="J175" s="9">
        <v>133.1076923076923</v>
      </c>
      <c r="K175" s="9">
        <v>86.998491704374047</v>
      </c>
      <c r="N175" s="10"/>
      <c r="O175" s="10"/>
    </row>
    <row r="176" spans="1:15" x14ac:dyDescent="0.2">
      <c r="A176" s="6" t="s">
        <v>12</v>
      </c>
      <c r="B176" s="6" t="s">
        <v>153</v>
      </c>
      <c r="C176" s="9">
        <v>2021</v>
      </c>
      <c r="D176" s="6" t="s">
        <v>130</v>
      </c>
      <c r="E176" s="10">
        <v>12.7</v>
      </c>
      <c r="F176" s="10">
        <v>0.79374999999999996</v>
      </c>
      <c r="G176" s="9">
        <v>38.781231105600988</v>
      </c>
      <c r="H176" s="11">
        <v>44399</v>
      </c>
      <c r="I176" s="11">
        <v>44571</v>
      </c>
      <c r="J176" s="9">
        <v>133.27593023255815</v>
      </c>
      <c r="K176" s="9" t="s">
        <v>390</v>
      </c>
      <c r="N176" s="10"/>
      <c r="O176" s="10"/>
    </row>
    <row r="177" spans="1:15" x14ac:dyDescent="0.2">
      <c r="A177" s="6" t="s">
        <v>12</v>
      </c>
      <c r="B177" s="6" t="s">
        <v>143</v>
      </c>
      <c r="C177" s="9">
        <v>2021</v>
      </c>
      <c r="D177" s="6" t="s">
        <v>130</v>
      </c>
      <c r="E177" s="10">
        <v>20.9</v>
      </c>
      <c r="F177" s="10">
        <v>0.74263959390862944</v>
      </c>
      <c r="G177" s="9">
        <v>38.611893202089846</v>
      </c>
      <c r="H177" s="11">
        <v>44351</v>
      </c>
      <c r="I177" s="11">
        <v>44608</v>
      </c>
      <c r="J177" s="9">
        <v>147.43143968871595</v>
      </c>
      <c r="K177" s="9" t="s">
        <v>390</v>
      </c>
      <c r="N177" s="10"/>
      <c r="O177" s="10"/>
    </row>
    <row r="178" spans="1:15" x14ac:dyDescent="0.2">
      <c r="A178" s="6" t="s">
        <v>14</v>
      </c>
      <c r="B178" s="6" t="s">
        <v>154</v>
      </c>
      <c r="C178" s="9">
        <v>2025</v>
      </c>
      <c r="D178" s="6" t="s">
        <v>130</v>
      </c>
      <c r="E178" s="10">
        <v>25.6</v>
      </c>
      <c r="F178" s="10">
        <v>0.83348837209302329</v>
      </c>
      <c r="G178" s="9">
        <v>38.236291318718905</v>
      </c>
      <c r="H178" s="11">
        <v>45758</v>
      </c>
      <c r="I178" s="11">
        <v>46043</v>
      </c>
      <c r="J178" s="9">
        <v>156.22156666666669</v>
      </c>
      <c r="K178" s="9">
        <v>117.45982456140352</v>
      </c>
      <c r="N178" s="10"/>
      <c r="O178" s="10"/>
    </row>
    <row r="179" spans="1:15" x14ac:dyDescent="0.2">
      <c r="A179" s="6" t="s">
        <v>11</v>
      </c>
      <c r="B179" s="6" t="s">
        <v>155</v>
      </c>
      <c r="C179" s="9">
        <v>2021</v>
      </c>
      <c r="D179" s="6" t="s">
        <v>130</v>
      </c>
      <c r="E179" s="10">
        <v>20.63</v>
      </c>
      <c r="F179" s="10">
        <v>1.6045555555555555</v>
      </c>
      <c r="G179" s="9">
        <v>38.090841949778437</v>
      </c>
      <c r="H179" s="11">
        <v>44347</v>
      </c>
      <c r="I179" s="11">
        <v>44503</v>
      </c>
      <c r="J179" s="9">
        <v>227.01796407185628</v>
      </c>
      <c r="K179" s="9">
        <v>135.93890064183012</v>
      </c>
      <c r="N179" s="10"/>
      <c r="O179" s="10"/>
    </row>
    <row r="180" spans="1:15" x14ac:dyDescent="0.2">
      <c r="A180" s="6" t="s">
        <v>13</v>
      </c>
      <c r="B180" s="6" t="s">
        <v>156</v>
      </c>
      <c r="C180" s="9">
        <v>2025</v>
      </c>
      <c r="D180" s="6" t="s">
        <v>130</v>
      </c>
      <c r="E180" s="10">
        <v>12.6</v>
      </c>
      <c r="F180" s="10">
        <v>1.0626506024096385</v>
      </c>
      <c r="G180" s="9">
        <v>37.623171095849507</v>
      </c>
      <c r="H180" s="11">
        <v>45833</v>
      </c>
      <c r="I180" s="11">
        <v>45981</v>
      </c>
      <c r="J180" s="9">
        <v>141.22289156626505</v>
      </c>
      <c r="K180" s="9">
        <v>94.148594377510037</v>
      </c>
      <c r="N180" s="10"/>
      <c r="O180" s="10"/>
    </row>
    <row r="181" spans="1:15" x14ac:dyDescent="0.2">
      <c r="A181" s="6" t="s">
        <v>13</v>
      </c>
      <c r="B181" s="6" t="s">
        <v>133</v>
      </c>
      <c r="C181" s="9">
        <v>2024</v>
      </c>
      <c r="D181" s="6" t="s">
        <v>130</v>
      </c>
      <c r="E181" s="10">
        <v>17.02</v>
      </c>
      <c r="F181" s="10">
        <v>1.1566990291262136</v>
      </c>
      <c r="G181" s="9">
        <v>37.505509034817102</v>
      </c>
      <c r="H181" s="11">
        <v>45449</v>
      </c>
      <c r="I181" s="11">
        <v>45607</v>
      </c>
      <c r="J181" s="9">
        <v>174.53846153846155</v>
      </c>
      <c r="K181" s="9">
        <v>174.53846153846155</v>
      </c>
      <c r="N181" s="10"/>
      <c r="O181" s="10"/>
    </row>
    <row r="182" spans="1:15" x14ac:dyDescent="0.2">
      <c r="A182" s="6" t="s">
        <v>11</v>
      </c>
      <c r="B182" s="6" t="s">
        <v>157</v>
      </c>
      <c r="C182" s="9">
        <v>2018</v>
      </c>
      <c r="D182" s="6" t="s">
        <v>130</v>
      </c>
      <c r="E182" s="10">
        <v>18.994598</v>
      </c>
      <c r="F182" s="10">
        <v>0.8864145733333334</v>
      </c>
      <c r="G182" s="9">
        <v>37.342054568879135</v>
      </c>
      <c r="H182" s="11">
        <v>43334</v>
      </c>
      <c r="I182" s="11">
        <v>43540</v>
      </c>
      <c r="J182" s="9">
        <v>172.84734659251581</v>
      </c>
      <c r="K182" s="9" t="s">
        <v>390</v>
      </c>
      <c r="N182" s="10"/>
      <c r="O182" s="10"/>
    </row>
    <row r="183" spans="1:15" x14ac:dyDescent="0.2">
      <c r="A183" s="6" t="s">
        <v>15</v>
      </c>
      <c r="B183" s="6" t="s">
        <v>158</v>
      </c>
      <c r="C183" s="9">
        <v>2023</v>
      </c>
      <c r="D183" s="6" t="s">
        <v>130</v>
      </c>
      <c r="E183" s="10">
        <v>16.12</v>
      </c>
      <c r="F183" s="10">
        <v>0.84842105263157896</v>
      </c>
      <c r="G183" s="9">
        <v>37.314814814814817</v>
      </c>
      <c r="H183" s="11">
        <v>44914</v>
      </c>
      <c r="I183" s="11">
        <v>45093</v>
      </c>
      <c r="J183" s="9">
        <v>153.502538071066</v>
      </c>
      <c r="K183" s="9" t="s">
        <v>390</v>
      </c>
      <c r="N183" s="10"/>
      <c r="O183" s="10"/>
    </row>
    <row r="184" spans="1:15" x14ac:dyDescent="0.2">
      <c r="A184" s="6" t="s">
        <v>13</v>
      </c>
      <c r="B184" s="6" t="s">
        <v>159</v>
      </c>
      <c r="C184" s="9">
        <v>2024</v>
      </c>
      <c r="D184" s="6" t="s">
        <v>130</v>
      </c>
      <c r="E184" s="10">
        <v>13.81</v>
      </c>
      <c r="F184" s="10">
        <v>1.0069791666666668</v>
      </c>
      <c r="G184" s="9">
        <v>36.865990389749065</v>
      </c>
      <c r="H184" s="11">
        <v>45451</v>
      </c>
      <c r="I184" s="11">
        <v>45607</v>
      </c>
      <c r="J184" s="9">
        <v>145.67777777777778</v>
      </c>
      <c r="K184" s="9">
        <v>145.67777777777778</v>
      </c>
      <c r="N184" s="10"/>
      <c r="O184" s="10"/>
    </row>
    <row r="185" spans="1:15" x14ac:dyDescent="0.2">
      <c r="A185" s="6" t="s">
        <v>11</v>
      </c>
      <c r="B185" s="6" t="s">
        <v>160</v>
      </c>
      <c r="C185" s="9">
        <v>2025</v>
      </c>
      <c r="D185" s="6" t="s">
        <v>130</v>
      </c>
      <c r="E185" s="10">
        <v>16.13</v>
      </c>
      <c r="F185" s="10">
        <v>0.9992035398230088</v>
      </c>
      <c r="G185" s="9">
        <v>36.312471859522738</v>
      </c>
      <c r="H185" s="11">
        <v>45820</v>
      </c>
      <c r="I185" s="11">
        <v>46002</v>
      </c>
      <c r="J185" s="9">
        <v>164.5185185185185</v>
      </c>
      <c r="K185" s="9">
        <v>117.09503097403451</v>
      </c>
      <c r="N185" s="10"/>
      <c r="O185" s="10"/>
    </row>
    <row r="186" spans="1:15" x14ac:dyDescent="0.2">
      <c r="A186" s="6" t="s">
        <v>14</v>
      </c>
      <c r="B186" s="6" t="s">
        <v>161</v>
      </c>
      <c r="C186" s="9">
        <v>2025</v>
      </c>
      <c r="D186" s="6" t="s">
        <v>130</v>
      </c>
      <c r="E186" s="10">
        <v>21.85</v>
      </c>
      <c r="F186" s="10">
        <v>0.80078534031413617</v>
      </c>
      <c r="G186" s="9">
        <v>35.96050762741293</v>
      </c>
      <c r="H186" s="11">
        <v>45777</v>
      </c>
      <c r="I186" s="11">
        <v>46043</v>
      </c>
      <c r="J186" s="9">
        <v>142.25006688963211</v>
      </c>
      <c r="K186" s="9">
        <v>106.95493751100157</v>
      </c>
      <c r="N186" s="10"/>
      <c r="O186" s="10"/>
    </row>
    <row r="187" spans="1:15" x14ac:dyDescent="0.2">
      <c r="A187" s="6" t="s">
        <v>11</v>
      </c>
      <c r="B187" s="6" t="s">
        <v>162</v>
      </c>
      <c r="C187" s="9">
        <v>2018</v>
      </c>
      <c r="D187" s="6" t="s">
        <v>130</v>
      </c>
      <c r="E187" s="10">
        <v>27.924669999999988</v>
      </c>
      <c r="F187" s="10">
        <v>0.82477928270042167</v>
      </c>
      <c r="G187" s="9">
        <v>35.896923681747261</v>
      </c>
      <c r="H187" s="11">
        <v>43325</v>
      </c>
      <c r="I187" s="11">
        <v>43622</v>
      </c>
      <c r="J187" s="9">
        <v>183.34640907456441</v>
      </c>
      <c r="K187" s="9" t="s">
        <v>390</v>
      </c>
      <c r="N187" s="10"/>
      <c r="O187" s="10"/>
    </row>
    <row r="188" spans="1:15" x14ac:dyDescent="0.2">
      <c r="A188" s="6" t="s">
        <v>13</v>
      </c>
      <c r="B188" s="6" t="s">
        <v>146</v>
      </c>
      <c r="C188" s="9">
        <v>2021</v>
      </c>
      <c r="D188" s="6" t="s">
        <v>130</v>
      </c>
      <c r="E188" s="10">
        <v>16.399999999999999</v>
      </c>
      <c r="F188" s="10">
        <v>1.4717948717948717</v>
      </c>
      <c r="G188" s="9">
        <v>35.753215609330717</v>
      </c>
      <c r="H188" s="11">
        <v>44298</v>
      </c>
      <c r="I188" s="11">
        <v>44436</v>
      </c>
      <c r="J188" s="9">
        <v>232.67391304347825</v>
      </c>
      <c r="K188" s="9">
        <v>178.97993311036788</v>
      </c>
      <c r="N188" s="10"/>
      <c r="O188" s="10"/>
    </row>
    <row r="189" spans="1:15" x14ac:dyDescent="0.2">
      <c r="A189" s="6" t="s">
        <v>18</v>
      </c>
      <c r="B189" s="6" t="s">
        <v>148</v>
      </c>
      <c r="C189" s="9">
        <v>2024</v>
      </c>
      <c r="D189" s="6" t="s">
        <v>130</v>
      </c>
      <c r="E189" s="10">
        <v>37.200000000000003</v>
      </c>
      <c r="F189" s="10">
        <v>1.1573333333333333</v>
      </c>
      <c r="G189" s="9">
        <v>35.429246271357549</v>
      </c>
      <c r="H189" s="11">
        <v>45274</v>
      </c>
      <c r="I189" s="11">
        <v>45602</v>
      </c>
      <c r="J189" s="9">
        <v>198.64486486486487</v>
      </c>
      <c r="K189" s="9">
        <v>120.3908271908272</v>
      </c>
      <c r="N189" s="10"/>
      <c r="O189" s="10"/>
    </row>
    <row r="190" spans="1:15" x14ac:dyDescent="0.2">
      <c r="A190" s="6" t="s">
        <v>18</v>
      </c>
      <c r="B190" s="6" t="s">
        <v>161</v>
      </c>
      <c r="C190" s="9">
        <v>2025</v>
      </c>
      <c r="D190" s="6" t="s">
        <v>130</v>
      </c>
      <c r="E190" s="10">
        <v>24.49</v>
      </c>
      <c r="F190" s="10">
        <v>0.72948936170212764</v>
      </c>
      <c r="G190" s="9">
        <v>34.906178065693169</v>
      </c>
      <c r="H190" s="11">
        <v>45642</v>
      </c>
      <c r="I190" s="11">
        <v>45957</v>
      </c>
      <c r="J190" s="9">
        <v>135.29380165289257</v>
      </c>
      <c r="K190" s="9">
        <v>86.449713516225287</v>
      </c>
      <c r="N190" s="10"/>
      <c r="O190" s="10"/>
    </row>
    <row r="191" spans="1:15" x14ac:dyDescent="0.2">
      <c r="A191" s="6" t="s">
        <v>12</v>
      </c>
      <c r="B191" s="6" t="s">
        <v>163</v>
      </c>
      <c r="C191" s="9">
        <v>2022</v>
      </c>
      <c r="D191" s="6" t="s">
        <v>130</v>
      </c>
      <c r="E191" s="10">
        <v>10.91</v>
      </c>
      <c r="F191" s="10">
        <v>1.2122222222222223</v>
      </c>
      <c r="G191" s="9">
        <v>34.514394179057263</v>
      </c>
      <c r="H191" s="11">
        <v>44606</v>
      </c>
      <c r="I191" s="11">
        <v>44754</v>
      </c>
      <c r="J191" s="9">
        <v>147.51333333333335</v>
      </c>
      <c r="K191" s="9" t="s">
        <v>390</v>
      </c>
      <c r="N191" s="10"/>
      <c r="O191" s="10"/>
    </row>
    <row r="192" spans="1:15" x14ac:dyDescent="0.2">
      <c r="A192" s="6" t="s">
        <v>14</v>
      </c>
      <c r="B192" s="6" t="s">
        <v>164</v>
      </c>
      <c r="C192" s="9">
        <v>2023</v>
      </c>
      <c r="D192" s="6" t="s">
        <v>130</v>
      </c>
      <c r="E192" s="10">
        <v>5.94</v>
      </c>
      <c r="F192" s="10">
        <v>0.46719101123595513</v>
      </c>
      <c r="G192" s="9">
        <v>34.15756181713629</v>
      </c>
      <c r="H192" s="11">
        <v>45166</v>
      </c>
      <c r="I192" s="11">
        <v>45334</v>
      </c>
      <c r="J192" s="9">
        <v>71.187134502923982</v>
      </c>
      <c r="K192" s="9">
        <v>118.64522417153998</v>
      </c>
      <c r="N192" s="10"/>
      <c r="O192" s="10"/>
    </row>
    <row r="193" spans="1:15" x14ac:dyDescent="0.2">
      <c r="A193" s="6" t="s">
        <v>12</v>
      </c>
      <c r="B193" s="6" t="s">
        <v>165</v>
      </c>
      <c r="C193" s="9">
        <v>2021</v>
      </c>
      <c r="D193" s="6" t="s">
        <v>130</v>
      </c>
      <c r="E193" s="10">
        <v>21.77</v>
      </c>
      <c r="F193" s="10">
        <v>1.1457894736842105</v>
      </c>
      <c r="G193" s="9">
        <v>34.004998437988128</v>
      </c>
      <c r="H193" s="11">
        <v>44344</v>
      </c>
      <c r="I193" s="11">
        <v>44551</v>
      </c>
      <c r="J193" s="9">
        <v>137.04587155963301</v>
      </c>
      <c r="K193" s="9" t="s">
        <v>390</v>
      </c>
      <c r="N193" s="10"/>
      <c r="O193" s="10"/>
    </row>
    <row r="194" spans="1:15" x14ac:dyDescent="0.2">
      <c r="A194" s="6" t="s">
        <v>11</v>
      </c>
      <c r="B194" s="6" t="s">
        <v>166</v>
      </c>
      <c r="C194" s="9">
        <v>2018</v>
      </c>
      <c r="D194" s="6" t="s">
        <v>130</v>
      </c>
      <c r="E194" s="10">
        <v>28.203517948717941</v>
      </c>
      <c r="F194" s="10">
        <v>0.66697508662508642</v>
      </c>
      <c r="G194" s="9">
        <v>33.963550363151434</v>
      </c>
      <c r="H194" s="11">
        <v>43326</v>
      </c>
      <c r="I194" s="11">
        <v>43693</v>
      </c>
      <c r="J194" s="9">
        <v>158.3879640049318</v>
      </c>
      <c r="K194" s="9" t="s">
        <v>390</v>
      </c>
      <c r="N194" s="10"/>
      <c r="O194" s="10"/>
    </row>
    <row r="195" spans="1:15" x14ac:dyDescent="0.2">
      <c r="A195" s="6" t="s">
        <v>12</v>
      </c>
      <c r="B195" s="6" t="s">
        <v>167</v>
      </c>
      <c r="C195" s="9">
        <v>2021</v>
      </c>
      <c r="D195" s="6" t="s">
        <v>130</v>
      </c>
      <c r="E195" s="10">
        <v>16.5</v>
      </c>
      <c r="F195" s="10">
        <v>0.58629441624365486</v>
      </c>
      <c r="G195" s="9">
        <v>33.66632388227805</v>
      </c>
      <c r="H195" s="11">
        <v>44351</v>
      </c>
      <c r="I195" s="11">
        <v>44608</v>
      </c>
      <c r="J195" s="9">
        <v>133.49136186770428</v>
      </c>
      <c r="K195" s="9" t="s">
        <v>390</v>
      </c>
      <c r="N195" s="10"/>
      <c r="O195" s="10"/>
    </row>
    <row r="196" spans="1:15" x14ac:dyDescent="0.2">
      <c r="A196" s="6" t="s">
        <v>15</v>
      </c>
      <c r="B196" s="6" t="s">
        <v>154</v>
      </c>
      <c r="C196" s="9">
        <v>2025</v>
      </c>
      <c r="D196" s="6" t="s">
        <v>130</v>
      </c>
      <c r="E196" s="10">
        <v>19.68</v>
      </c>
      <c r="F196" s="10">
        <v>1.0280597014925372</v>
      </c>
      <c r="G196" s="9">
        <v>32.810936978992999</v>
      </c>
      <c r="H196" s="11">
        <v>45756</v>
      </c>
      <c r="I196" s="11">
        <v>45919</v>
      </c>
      <c r="J196" s="9">
        <v>205.81372549019608</v>
      </c>
      <c r="K196" s="9">
        <v>178.9684569479966</v>
      </c>
      <c r="N196" s="10"/>
      <c r="O196" s="10"/>
    </row>
    <row r="197" spans="1:15" x14ac:dyDescent="0.2">
      <c r="A197" s="6" t="s">
        <v>14</v>
      </c>
      <c r="B197" s="6" t="s">
        <v>168</v>
      </c>
      <c r="C197" s="9">
        <v>2022</v>
      </c>
      <c r="D197" s="6" t="s">
        <v>130</v>
      </c>
      <c r="E197" s="10">
        <v>17.8</v>
      </c>
      <c r="F197" s="10">
        <v>1.5974358974358975</v>
      </c>
      <c r="G197" s="9">
        <v>32.243868056531277</v>
      </c>
      <c r="H197" s="11">
        <v>44664</v>
      </c>
      <c r="I197" s="11">
        <v>44817</v>
      </c>
      <c r="J197" s="9">
        <v>252.5686693480811</v>
      </c>
      <c r="K197" s="9">
        <v>179.12671584970292</v>
      </c>
      <c r="N197" s="10"/>
      <c r="O197" s="10"/>
    </row>
    <row r="198" spans="1:15" x14ac:dyDescent="0.2">
      <c r="A198" s="6" t="s">
        <v>13</v>
      </c>
      <c r="B198" s="6" t="s">
        <v>169</v>
      </c>
      <c r="C198" s="9">
        <v>2024</v>
      </c>
      <c r="D198" s="6" t="s">
        <v>130</v>
      </c>
      <c r="E198" s="10">
        <v>13.47</v>
      </c>
      <c r="F198" s="10">
        <v>0.81284482758620691</v>
      </c>
      <c r="G198" s="9">
        <v>32.14797136038186</v>
      </c>
      <c r="H198" s="11">
        <v>45443</v>
      </c>
      <c r="I198" s="11">
        <v>45621</v>
      </c>
      <c r="J198" s="9">
        <v>146.65</v>
      </c>
      <c r="K198" s="9">
        <v>146.65</v>
      </c>
      <c r="N198" s="10"/>
      <c r="O198" s="10"/>
    </row>
    <row r="199" spans="1:15" x14ac:dyDescent="0.2">
      <c r="A199" s="6" t="s">
        <v>15</v>
      </c>
      <c r="B199" s="6" t="s">
        <v>161</v>
      </c>
      <c r="C199" s="9">
        <v>2025</v>
      </c>
      <c r="D199" s="6" t="s">
        <v>130</v>
      </c>
      <c r="E199" s="10">
        <v>17.96</v>
      </c>
      <c r="F199" s="10">
        <v>0.98992125984251977</v>
      </c>
      <c r="G199" s="9">
        <v>32.042818911685991</v>
      </c>
      <c r="H199" s="11">
        <v>45772</v>
      </c>
      <c r="I199" s="11">
        <v>45923</v>
      </c>
      <c r="J199" s="9">
        <v>192.32843137254903</v>
      </c>
      <c r="K199" s="9">
        <v>167.24211423699919</v>
      </c>
      <c r="N199" s="10"/>
      <c r="O199" s="10"/>
    </row>
    <row r="200" spans="1:15" x14ac:dyDescent="0.2">
      <c r="A200" s="6" t="s">
        <v>12</v>
      </c>
      <c r="B200" s="6" t="s">
        <v>170</v>
      </c>
      <c r="C200" s="9">
        <v>2022</v>
      </c>
      <c r="D200" s="6" t="s">
        <v>130</v>
      </c>
      <c r="E200" s="10">
        <v>10.18</v>
      </c>
      <c r="F200" s="10">
        <v>1.1134375000000001</v>
      </c>
      <c r="G200" s="9">
        <v>29.888432178508513</v>
      </c>
      <c r="H200" s="11">
        <v>44608</v>
      </c>
      <c r="I200" s="11">
        <v>44756</v>
      </c>
      <c r="J200" s="9">
        <v>161.09459459459461</v>
      </c>
      <c r="K200" s="9" t="s">
        <v>390</v>
      </c>
      <c r="N200" s="10"/>
      <c r="O200" s="10"/>
    </row>
    <row r="201" spans="1:15" x14ac:dyDescent="0.2">
      <c r="A201" s="6" t="s">
        <v>11</v>
      </c>
      <c r="B201" s="6" t="s">
        <v>157</v>
      </c>
      <c r="C201" s="9">
        <v>2019</v>
      </c>
      <c r="D201" s="6" t="s">
        <v>130</v>
      </c>
      <c r="E201" s="10">
        <v>14.879570000000001</v>
      </c>
      <c r="F201" s="10">
        <v>1.407526891891892</v>
      </c>
      <c r="G201" s="9">
        <v>28.978410966674549</v>
      </c>
      <c r="H201" s="11">
        <v>43557</v>
      </c>
      <c r="I201" s="11">
        <v>43693</v>
      </c>
      <c r="J201" s="9">
        <v>264.2864791547687</v>
      </c>
      <c r="K201" s="9" t="s">
        <v>390</v>
      </c>
      <c r="N201" s="10"/>
      <c r="O201" s="10"/>
    </row>
    <row r="202" spans="1:15" x14ac:dyDescent="0.2">
      <c r="A202" s="6" t="s">
        <v>14</v>
      </c>
      <c r="B202" s="6" t="s">
        <v>171</v>
      </c>
      <c r="C202" s="9">
        <v>2022</v>
      </c>
      <c r="D202" s="6" t="s">
        <v>130</v>
      </c>
      <c r="E202" s="10">
        <v>15.04</v>
      </c>
      <c r="F202" s="10">
        <v>1.2997530864197531</v>
      </c>
      <c r="G202" s="9">
        <v>26.93202597423468</v>
      </c>
      <c r="H202" s="11">
        <v>44666</v>
      </c>
      <c r="I202" s="11">
        <v>44818</v>
      </c>
      <c r="J202" s="9">
        <v>257.17767375168688</v>
      </c>
      <c r="K202" s="9">
        <v>182.39551329906871</v>
      </c>
      <c r="N202" s="10"/>
      <c r="O202" s="10"/>
    </row>
    <row r="203" spans="1:15" x14ac:dyDescent="0.2">
      <c r="A203" s="6" t="s">
        <v>13</v>
      </c>
      <c r="B203" s="6" t="s">
        <v>172</v>
      </c>
      <c r="C203" s="9">
        <v>2021</v>
      </c>
      <c r="D203" s="6" t="s">
        <v>130</v>
      </c>
      <c r="E203" s="10">
        <v>11</v>
      </c>
      <c r="F203" s="10">
        <v>1.0266666666666668</v>
      </c>
      <c r="G203" s="9">
        <v>26.393897730844628</v>
      </c>
      <c r="H203" s="11">
        <v>44301</v>
      </c>
      <c r="I203" s="11">
        <v>44436</v>
      </c>
      <c r="J203" s="9">
        <v>216.09933333333336</v>
      </c>
      <c r="K203" s="9">
        <v>166.23025641025643</v>
      </c>
      <c r="N203" s="10"/>
      <c r="O203" s="10"/>
    </row>
    <row r="204" spans="1:15" x14ac:dyDescent="0.2">
      <c r="A204" s="6" t="s">
        <v>11</v>
      </c>
      <c r="B204" s="6" t="s">
        <v>162</v>
      </c>
      <c r="C204" s="9">
        <v>2019</v>
      </c>
      <c r="D204" s="6" t="s">
        <v>130</v>
      </c>
      <c r="E204" s="10">
        <v>14.790989999999999</v>
      </c>
      <c r="F204" s="10">
        <v>0.69957385135135131</v>
      </c>
      <c r="G204" s="9">
        <v>26.305308987308987</v>
      </c>
      <c r="H204" s="11">
        <v>43668</v>
      </c>
      <c r="I204" s="11">
        <v>43882</v>
      </c>
      <c r="J204" s="9">
        <v>183.92387260684148</v>
      </c>
      <c r="K204" s="9" t="s">
        <v>390</v>
      </c>
      <c r="N204" s="10"/>
      <c r="O204" s="10"/>
    </row>
    <row r="205" spans="1:15" x14ac:dyDescent="0.2">
      <c r="A205" s="6" t="s">
        <v>13</v>
      </c>
      <c r="B205" s="6" t="s">
        <v>173</v>
      </c>
      <c r="C205" s="9">
        <v>2024</v>
      </c>
      <c r="D205" s="6" t="s">
        <v>130</v>
      </c>
      <c r="E205" s="10">
        <v>11.9</v>
      </c>
      <c r="F205" s="10">
        <v>0.71810344827586203</v>
      </c>
      <c r="G205" s="9">
        <v>26.246140273489193</v>
      </c>
      <c r="H205" s="11">
        <v>45443</v>
      </c>
      <c r="I205" s="11">
        <v>45621</v>
      </c>
      <c r="J205" s="9">
        <v>164.44559585492226</v>
      </c>
      <c r="K205" s="9">
        <v>164.44559585492226</v>
      </c>
      <c r="N205" s="10"/>
      <c r="O205" s="10"/>
    </row>
    <row r="206" spans="1:15" x14ac:dyDescent="0.2">
      <c r="A206" s="6" t="s">
        <v>11</v>
      </c>
      <c r="B206" s="6" t="s">
        <v>174</v>
      </c>
      <c r="C206" s="9">
        <v>2022</v>
      </c>
      <c r="D206" s="6" t="s">
        <v>130</v>
      </c>
      <c r="E206" s="10">
        <v>19.290994764397905</v>
      </c>
      <c r="F206" s="10">
        <v>0.66849981856824425</v>
      </c>
      <c r="G206" s="9">
        <v>25.369535460807345</v>
      </c>
      <c r="H206" s="11">
        <v>44685</v>
      </c>
      <c r="I206" s="11">
        <v>44942</v>
      </c>
      <c r="J206" s="9">
        <v>200.10526315789474</v>
      </c>
      <c r="K206" s="9">
        <v>160.08421052631579</v>
      </c>
      <c r="N206" s="10"/>
      <c r="O206" s="10"/>
    </row>
    <row r="207" spans="1:15" x14ac:dyDescent="0.2">
      <c r="A207" s="6" t="s">
        <v>11</v>
      </c>
      <c r="B207" s="6" t="s">
        <v>155</v>
      </c>
      <c r="C207" s="9">
        <v>2019</v>
      </c>
      <c r="D207" s="6" t="s">
        <v>130</v>
      </c>
      <c r="E207" s="10">
        <v>10.589439999999998</v>
      </c>
      <c r="F207" s="10">
        <v>0.55317970149253726</v>
      </c>
      <c r="G207" s="9">
        <v>25.290413773114597</v>
      </c>
      <c r="H207" s="11">
        <v>43740</v>
      </c>
      <c r="I207" s="11">
        <v>43950</v>
      </c>
      <c r="J207" s="9">
        <v>139.57119741100323</v>
      </c>
      <c r="K207" s="9" t="s">
        <v>390</v>
      </c>
      <c r="N207" s="10"/>
      <c r="O207" s="10"/>
    </row>
    <row r="208" spans="1:15" x14ac:dyDescent="0.2">
      <c r="A208" s="6" t="s">
        <v>17</v>
      </c>
      <c r="B208" s="6" t="s">
        <v>175</v>
      </c>
      <c r="C208" s="9">
        <v>2024</v>
      </c>
      <c r="D208" s="6" t="s">
        <v>130</v>
      </c>
      <c r="E208" s="10">
        <v>7.1</v>
      </c>
      <c r="F208" s="10">
        <v>0.78888888888888886</v>
      </c>
      <c r="G208" s="9">
        <v>22.604266157274754</v>
      </c>
      <c r="H208" s="11">
        <v>45526</v>
      </c>
      <c r="I208" s="11">
        <v>45712</v>
      </c>
      <c r="J208" s="9">
        <v>110.48743718592965</v>
      </c>
      <c r="K208" s="9">
        <v>110.48743718592965</v>
      </c>
      <c r="N208" s="10"/>
      <c r="O208" s="10"/>
    </row>
    <row r="209" spans="1:15" x14ac:dyDescent="0.2">
      <c r="A209" s="6" t="s">
        <v>14</v>
      </c>
      <c r="B209" s="6" t="s">
        <v>176</v>
      </c>
      <c r="C209" s="9">
        <v>2022</v>
      </c>
      <c r="D209" s="6" t="s">
        <v>130</v>
      </c>
      <c r="E209" s="10">
        <v>4.66</v>
      </c>
      <c r="F209" s="10">
        <v>0.32949494949494951</v>
      </c>
      <c r="G209" s="9">
        <v>19.555182543013007</v>
      </c>
      <c r="H209" s="11">
        <v>44819</v>
      </c>
      <c r="I209" s="11">
        <v>45000</v>
      </c>
      <c r="J209" s="9">
        <v>83.405000000000001</v>
      </c>
      <c r="K209" s="9">
        <v>76.5183486238532</v>
      </c>
      <c r="N209" s="10"/>
      <c r="O209" s="10"/>
    </row>
    <row r="210" spans="1:15" x14ac:dyDescent="0.2">
      <c r="A210" s="6" t="s">
        <v>11</v>
      </c>
      <c r="B210" s="6" t="s">
        <v>177</v>
      </c>
      <c r="C210" s="9">
        <v>2019</v>
      </c>
      <c r="D210" s="6" t="s">
        <v>130</v>
      </c>
      <c r="E210" s="10">
        <v>13.296102564102561</v>
      </c>
      <c r="F210" s="10">
        <v>0.45848629531388141</v>
      </c>
      <c r="G210" s="9">
        <v>19.278347070961473</v>
      </c>
      <c r="H210" s="11">
        <v>43720</v>
      </c>
      <c r="I210" s="11">
        <v>43998</v>
      </c>
      <c r="J210" s="9">
        <v>173.66320267161925</v>
      </c>
      <c r="K210" s="9" t="s">
        <v>390</v>
      </c>
      <c r="N210" s="10"/>
      <c r="O210" s="10"/>
    </row>
    <row r="211" spans="1:15" x14ac:dyDescent="0.2">
      <c r="A211" s="6" t="s">
        <v>16</v>
      </c>
      <c r="B211" s="6" t="s">
        <v>175</v>
      </c>
      <c r="C211" s="9">
        <v>2025</v>
      </c>
      <c r="D211" s="6" t="s">
        <v>130</v>
      </c>
      <c r="E211" s="10">
        <v>7.78</v>
      </c>
      <c r="F211" s="10">
        <v>0.92305084745762711</v>
      </c>
      <c r="G211" s="9">
        <v>17.81135531135531</v>
      </c>
      <c r="H211" s="11">
        <v>45666</v>
      </c>
      <c r="I211" s="11">
        <v>45835</v>
      </c>
      <c r="J211" s="9">
        <v>151.36633663366337</v>
      </c>
      <c r="K211" s="9">
        <v>121.09306930693069</v>
      </c>
      <c r="N211" s="10"/>
      <c r="O211" s="10"/>
    </row>
    <row r="212" spans="1:15" x14ac:dyDescent="0.2">
      <c r="A212" s="6" t="s">
        <v>17</v>
      </c>
      <c r="B212" s="6" t="s">
        <v>178</v>
      </c>
      <c r="C212" s="9">
        <v>2023</v>
      </c>
      <c r="D212" s="6" t="s">
        <v>130</v>
      </c>
      <c r="E212" s="10">
        <v>9.09</v>
      </c>
      <c r="F212" s="10">
        <v>1.2005660377358491</v>
      </c>
      <c r="G212" s="9">
        <v>17.612865723696959</v>
      </c>
      <c r="H212" s="11">
        <v>44971</v>
      </c>
      <c r="I212" s="11">
        <v>45107</v>
      </c>
      <c r="J212" s="9">
        <v>206.44</v>
      </c>
      <c r="K212" s="9">
        <v>172.03333333333333</v>
      </c>
      <c r="N212" s="10"/>
      <c r="O212" s="10"/>
    </row>
    <row r="213" spans="1:15" x14ac:dyDescent="0.2">
      <c r="A213" s="6" t="s">
        <v>11</v>
      </c>
      <c r="B213" s="6" t="s">
        <v>179</v>
      </c>
      <c r="C213" s="9">
        <v>2019</v>
      </c>
      <c r="D213" s="6" t="s">
        <v>130</v>
      </c>
      <c r="E213" s="10">
        <v>12.367804376068378</v>
      </c>
      <c r="F213" s="10">
        <v>0.65093707242465149</v>
      </c>
      <c r="G213" s="9">
        <v>16.419616500270024</v>
      </c>
      <c r="H213" s="11">
        <v>43608</v>
      </c>
      <c r="I213" s="11">
        <v>43825</v>
      </c>
      <c r="J213" s="9">
        <v>242.9785320987952</v>
      </c>
      <c r="K213" s="9" t="s">
        <v>390</v>
      </c>
      <c r="N213" s="10"/>
      <c r="O213" s="10"/>
    </row>
    <row r="214" spans="1:15" x14ac:dyDescent="0.2">
      <c r="A214" s="6" t="s">
        <v>17</v>
      </c>
      <c r="B214" s="6" t="s">
        <v>180</v>
      </c>
      <c r="C214" s="9">
        <v>2023</v>
      </c>
      <c r="D214" s="6" t="s">
        <v>130</v>
      </c>
      <c r="E214" s="10">
        <v>8.2899999999999991</v>
      </c>
      <c r="F214" s="10">
        <v>1.0362499999999999</v>
      </c>
      <c r="G214" s="9">
        <v>13.963281118409968</v>
      </c>
      <c r="H214" s="11">
        <v>44978</v>
      </c>
      <c r="I214" s="11">
        <v>45128</v>
      </c>
      <c r="J214" s="9">
        <v>250.35542168674698</v>
      </c>
      <c r="K214" s="9">
        <v>200.28433734939759</v>
      </c>
      <c r="N214" s="10"/>
      <c r="O214" s="10"/>
    </row>
    <row r="215" spans="1:15" x14ac:dyDescent="0.2">
      <c r="A215" s="6" t="s">
        <v>15</v>
      </c>
      <c r="B215" s="6" t="s">
        <v>181</v>
      </c>
      <c r="C215" s="9">
        <v>2026</v>
      </c>
      <c r="D215" s="6" t="s">
        <v>130</v>
      </c>
      <c r="E215" s="10">
        <v>7.91</v>
      </c>
      <c r="F215" s="10">
        <v>0.52235849056603778</v>
      </c>
      <c r="G215" s="9">
        <v>13.168058385606031</v>
      </c>
      <c r="H215" s="11">
        <v>45967</v>
      </c>
      <c r="I215" s="11">
        <v>46141</v>
      </c>
      <c r="J215" s="9">
        <v>208.16198019801979</v>
      </c>
      <c r="K215" s="9">
        <v>154.19405940594058</v>
      </c>
      <c r="N215" s="10"/>
      <c r="O215" s="10"/>
    </row>
    <row r="216" spans="1:15" x14ac:dyDescent="0.2">
      <c r="A216" s="6" t="s">
        <v>16</v>
      </c>
      <c r="B216" s="6" t="s">
        <v>182</v>
      </c>
      <c r="C216" s="9">
        <v>2025</v>
      </c>
      <c r="D216" s="6" t="s">
        <v>130</v>
      </c>
      <c r="E216" s="10">
        <v>7.14</v>
      </c>
      <c r="F216" s="10">
        <v>0.51</v>
      </c>
      <c r="G216" s="9">
        <v>11.149281698938164</v>
      </c>
      <c r="H216" s="11">
        <v>45881</v>
      </c>
      <c r="I216" s="11">
        <v>46048</v>
      </c>
      <c r="J216" s="9">
        <v>235.93684210526317</v>
      </c>
      <c r="K216" s="9">
        <v>362.97975708502025</v>
      </c>
      <c r="N216" s="10"/>
      <c r="O216" s="10"/>
    </row>
    <row r="217" spans="1:15" x14ac:dyDescent="0.2">
      <c r="A217" s="6" t="s">
        <v>17</v>
      </c>
      <c r="B217" s="6" t="s">
        <v>183</v>
      </c>
      <c r="C217" s="9">
        <v>2025</v>
      </c>
      <c r="D217" s="6" t="s">
        <v>130</v>
      </c>
      <c r="E217" s="10">
        <v>5.87</v>
      </c>
      <c r="F217" s="10">
        <v>0.55527027027027032</v>
      </c>
      <c r="G217" s="9">
        <v>10.603323699421965</v>
      </c>
      <c r="H217" s="11">
        <v>45884</v>
      </c>
      <c r="I217" s="11">
        <v>46035</v>
      </c>
      <c r="J217" s="9">
        <v>225.30232558139534</v>
      </c>
      <c r="K217" s="9">
        <v>321.8604651162791</v>
      </c>
      <c r="N217" s="10"/>
      <c r="O217" s="10"/>
    </row>
    <row r="218" spans="1:15" x14ac:dyDescent="0.2">
      <c r="A218" s="6" t="s">
        <v>16</v>
      </c>
      <c r="B218" s="6" t="s">
        <v>184</v>
      </c>
      <c r="C218" s="9">
        <v>2025</v>
      </c>
      <c r="D218" s="6" t="s">
        <v>130</v>
      </c>
      <c r="E218" s="10">
        <v>3.2</v>
      </c>
      <c r="F218" s="10">
        <v>0.26987951807228916</v>
      </c>
      <c r="G218" s="9">
        <v>7.5968900231467744</v>
      </c>
      <c r="H218" s="11">
        <v>45889</v>
      </c>
      <c r="I218" s="11">
        <v>46051</v>
      </c>
      <c r="J218" s="9">
        <v>175.51041666666666</v>
      </c>
      <c r="K218" s="9">
        <v>270.01602564102564</v>
      </c>
      <c r="N218" s="10"/>
      <c r="O218" s="10"/>
    </row>
    <row r="219" spans="1:15" x14ac:dyDescent="0.2">
      <c r="A219" s="6" t="s">
        <v>11</v>
      </c>
      <c r="B219" s="6" t="s">
        <v>185</v>
      </c>
      <c r="C219" s="9">
        <v>2021</v>
      </c>
      <c r="D219" s="6" t="s">
        <v>186</v>
      </c>
      <c r="E219" s="10">
        <v>33.89</v>
      </c>
      <c r="F219" s="10">
        <v>2.118125</v>
      </c>
      <c r="G219" s="9">
        <v>66.32093933463797</v>
      </c>
      <c r="H219" s="11">
        <v>44214</v>
      </c>
      <c r="I219" s="11">
        <v>44406</v>
      </c>
      <c r="J219" s="9">
        <v>171.14832535885168</v>
      </c>
      <c r="K219" s="9">
        <v>103.72625779324345</v>
      </c>
      <c r="N219" s="10"/>
      <c r="O219" s="10"/>
    </row>
    <row r="220" spans="1:15" x14ac:dyDescent="0.2">
      <c r="A220" s="6" t="s">
        <v>11</v>
      </c>
      <c r="B220" s="6" t="s">
        <v>187</v>
      </c>
      <c r="C220" s="9">
        <v>2026</v>
      </c>
      <c r="D220" s="6" t="s">
        <v>186</v>
      </c>
      <c r="E220" s="10">
        <v>24.16</v>
      </c>
      <c r="F220" s="10">
        <v>1.8184946236559139</v>
      </c>
      <c r="G220" s="9">
        <v>61.996407492943291</v>
      </c>
      <c r="H220" s="11">
        <v>46018</v>
      </c>
      <c r="I220" s="11">
        <v>46205</v>
      </c>
      <c r="J220" s="9">
        <v>130.52153110047846</v>
      </c>
      <c r="K220" s="9">
        <v>93.900382086675151</v>
      </c>
      <c r="N220" s="10"/>
      <c r="O220" s="10"/>
    </row>
    <row r="221" spans="1:15" x14ac:dyDescent="0.2">
      <c r="A221" s="6" t="s">
        <v>11</v>
      </c>
      <c r="B221" s="6" t="s">
        <v>188</v>
      </c>
      <c r="C221" s="9">
        <v>2021</v>
      </c>
      <c r="D221" s="6" t="s">
        <v>186</v>
      </c>
      <c r="E221" s="10">
        <v>31.22</v>
      </c>
      <c r="F221" s="10">
        <v>1.9339823008849557</v>
      </c>
      <c r="G221" s="9">
        <v>61.095890410958901</v>
      </c>
      <c r="H221" s="11">
        <v>44214</v>
      </c>
      <c r="I221" s="11">
        <v>44407</v>
      </c>
      <c r="J221" s="9">
        <v>171.14832535885168</v>
      </c>
      <c r="K221" s="9">
        <v>103.72625779324345</v>
      </c>
      <c r="N221" s="10"/>
      <c r="O221" s="10"/>
    </row>
    <row r="222" spans="1:15" x14ac:dyDescent="0.2">
      <c r="A222" s="6" t="s">
        <v>11</v>
      </c>
      <c r="B222" s="6" t="s">
        <v>189</v>
      </c>
      <c r="C222" s="9">
        <v>2020</v>
      </c>
      <c r="D222" s="6" t="s">
        <v>186</v>
      </c>
      <c r="E222" s="10">
        <v>34.42</v>
      </c>
      <c r="F222" s="10">
        <v>1.1103225806451613</v>
      </c>
      <c r="G222" s="9">
        <v>59.665625139033729</v>
      </c>
      <c r="H222" s="11">
        <v>44082</v>
      </c>
      <c r="I222" s="11">
        <v>44379</v>
      </c>
      <c r="J222" s="9">
        <v>131.96637411914398</v>
      </c>
      <c r="K222" s="9">
        <v>79.979620678269086</v>
      </c>
      <c r="N222" s="10"/>
      <c r="O222" s="10"/>
    </row>
    <row r="223" spans="1:15" x14ac:dyDescent="0.2">
      <c r="A223" s="6" t="s">
        <v>13</v>
      </c>
      <c r="B223" s="6" t="s">
        <v>190</v>
      </c>
      <c r="C223" s="9">
        <v>2025</v>
      </c>
      <c r="D223" s="6" t="s">
        <v>186</v>
      </c>
      <c r="E223" s="10">
        <v>19.48</v>
      </c>
      <c r="F223" s="10">
        <v>1.4821739130434783</v>
      </c>
      <c r="G223" s="9">
        <v>59.5112016293279</v>
      </c>
      <c r="H223" s="11">
        <v>45643</v>
      </c>
      <c r="I223" s="11">
        <v>45828</v>
      </c>
      <c r="J223" s="9">
        <v>115.14237855946399</v>
      </c>
      <c r="K223" s="9">
        <v>88.571060430356908</v>
      </c>
      <c r="N223" s="10"/>
      <c r="O223" s="10"/>
    </row>
    <row r="224" spans="1:15" x14ac:dyDescent="0.2">
      <c r="A224" s="6" t="s">
        <v>11</v>
      </c>
      <c r="B224" s="6" t="s">
        <v>191</v>
      </c>
      <c r="C224" s="9">
        <v>2026</v>
      </c>
      <c r="D224" s="6" t="s">
        <v>186</v>
      </c>
      <c r="E224" s="10">
        <v>23.72</v>
      </c>
      <c r="F224" s="10">
        <v>1.8246153846153845</v>
      </c>
      <c r="G224" s="9">
        <v>57.060380081789752</v>
      </c>
      <c r="H224" s="11">
        <v>46018</v>
      </c>
      <c r="I224" s="11">
        <v>46202</v>
      </c>
      <c r="J224" s="9">
        <v>140.57487922705315</v>
      </c>
      <c r="K224" s="9">
        <v>101.13300663816774</v>
      </c>
      <c r="N224" s="10"/>
      <c r="O224" s="10"/>
    </row>
    <row r="225" spans="1:15" x14ac:dyDescent="0.2">
      <c r="A225" s="6" t="s">
        <v>11</v>
      </c>
      <c r="B225" s="6" t="s">
        <v>192</v>
      </c>
      <c r="C225" s="9">
        <v>2020</v>
      </c>
      <c r="D225" s="6" t="s">
        <v>186</v>
      </c>
      <c r="E225" s="10">
        <v>34.450000000000003</v>
      </c>
      <c r="F225" s="10">
        <v>1.1268691588785047</v>
      </c>
      <c r="G225" s="9">
        <v>55.083330070492885</v>
      </c>
      <c r="H225" s="11">
        <v>44081</v>
      </c>
      <c r="I225" s="11">
        <v>44379</v>
      </c>
      <c r="J225" s="9">
        <v>142.60301346854587</v>
      </c>
      <c r="K225" s="9">
        <v>86.426068768815682</v>
      </c>
      <c r="N225" s="10"/>
      <c r="O225" s="10"/>
    </row>
    <row r="226" spans="1:15" x14ac:dyDescent="0.2">
      <c r="A226" s="6" t="s">
        <v>12</v>
      </c>
      <c r="B226" s="6" t="s">
        <v>193</v>
      </c>
      <c r="C226" s="9">
        <v>2022</v>
      </c>
      <c r="D226" s="6" t="s">
        <v>186</v>
      </c>
      <c r="E226" s="10">
        <v>13.74</v>
      </c>
      <c r="F226" s="10">
        <v>1.5028125000000001</v>
      </c>
      <c r="G226" s="9">
        <v>54.938024790083965</v>
      </c>
      <c r="H226" s="11">
        <v>44572</v>
      </c>
      <c r="I226" s="11">
        <v>44723</v>
      </c>
      <c r="J226" s="9">
        <v>112.9483870967742</v>
      </c>
      <c r="K226" s="9" t="s">
        <v>390</v>
      </c>
      <c r="N226" s="10"/>
      <c r="O226" s="10"/>
    </row>
    <row r="227" spans="1:15" x14ac:dyDescent="0.2">
      <c r="A227" s="6" t="s">
        <v>12</v>
      </c>
      <c r="B227" s="6" t="s">
        <v>194</v>
      </c>
      <c r="C227" s="9">
        <v>2022</v>
      </c>
      <c r="D227" s="6" t="s">
        <v>186</v>
      </c>
      <c r="E227" s="10">
        <v>20.239999999999998</v>
      </c>
      <c r="F227" s="10">
        <v>1.2006779661016949</v>
      </c>
      <c r="G227" s="9">
        <v>54.248190833556677</v>
      </c>
      <c r="H227" s="11">
        <v>44716</v>
      </c>
      <c r="I227" s="11">
        <v>44896</v>
      </c>
      <c r="J227" s="9">
        <v>141.17297297297299</v>
      </c>
      <c r="K227" s="9" t="s">
        <v>390</v>
      </c>
      <c r="N227" s="10"/>
      <c r="O227" s="10"/>
    </row>
    <row r="228" spans="1:15" x14ac:dyDescent="0.2">
      <c r="A228" s="6" t="s">
        <v>12</v>
      </c>
      <c r="B228" s="6" t="s">
        <v>195</v>
      </c>
      <c r="C228" s="9">
        <v>2022</v>
      </c>
      <c r="D228" s="6" t="s">
        <v>186</v>
      </c>
      <c r="E228" s="10">
        <v>12.82</v>
      </c>
      <c r="F228" s="10">
        <v>1.7257692307692307</v>
      </c>
      <c r="G228" s="9">
        <v>53.752620545073377</v>
      </c>
      <c r="H228" s="11">
        <v>44568</v>
      </c>
      <c r="I228" s="11">
        <v>44707</v>
      </c>
      <c r="J228" s="9">
        <v>115.93749999999999</v>
      </c>
      <c r="K228" s="9" t="s">
        <v>390</v>
      </c>
      <c r="N228" s="10"/>
      <c r="O228" s="10"/>
    </row>
    <row r="229" spans="1:15" x14ac:dyDescent="0.2">
      <c r="A229" s="6" t="s">
        <v>12</v>
      </c>
      <c r="B229" s="6" t="s">
        <v>196</v>
      </c>
      <c r="C229" s="9">
        <v>2022</v>
      </c>
      <c r="D229" s="6" t="s">
        <v>186</v>
      </c>
      <c r="E229" s="10">
        <v>14.46</v>
      </c>
      <c r="F229" s="10">
        <v>1.4885294117647061</v>
      </c>
      <c r="G229" s="9">
        <v>53.694764203490529</v>
      </c>
      <c r="H229" s="11">
        <v>44572</v>
      </c>
      <c r="I229" s="11">
        <v>44727</v>
      </c>
      <c r="J229" s="9">
        <v>117.81874999999999</v>
      </c>
      <c r="K229" s="9" t="s">
        <v>390</v>
      </c>
      <c r="N229" s="10"/>
      <c r="O229" s="10"/>
    </row>
    <row r="230" spans="1:15" x14ac:dyDescent="0.2">
      <c r="A230" s="6" t="s">
        <v>11</v>
      </c>
      <c r="B230" s="6" t="s">
        <v>197</v>
      </c>
      <c r="C230" s="9">
        <v>2021</v>
      </c>
      <c r="D230" s="6" t="s">
        <v>186</v>
      </c>
      <c r="E230" s="10">
        <v>14.48</v>
      </c>
      <c r="F230" s="10">
        <v>1.1138461538461539</v>
      </c>
      <c r="G230" s="9">
        <v>53.098643197653097</v>
      </c>
      <c r="H230" s="11">
        <v>44420</v>
      </c>
      <c r="I230" s="11">
        <v>44579</v>
      </c>
      <c r="J230" s="9">
        <v>114.30538922155688</v>
      </c>
      <c r="K230" s="9">
        <v>91.444311377245498</v>
      </c>
      <c r="N230" s="10"/>
      <c r="O230" s="10"/>
    </row>
    <row r="231" spans="1:15" x14ac:dyDescent="0.2">
      <c r="A231" s="6" t="s">
        <v>13</v>
      </c>
      <c r="B231" s="6" t="s">
        <v>198</v>
      </c>
      <c r="C231" s="9">
        <v>2026</v>
      </c>
      <c r="D231" s="6" t="s">
        <v>186</v>
      </c>
      <c r="E231" s="10">
        <v>18.100000000000001</v>
      </c>
      <c r="F231" s="10">
        <v>1.3923076923076925</v>
      </c>
      <c r="G231" s="9">
        <v>51.862464183381086</v>
      </c>
      <c r="H231" s="11">
        <v>46009</v>
      </c>
      <c r="I231" s="11">
        <v>46209</v>
      </c>
      <c r="J231" s="9">
        <v>113.62790697674419</v>
      </c>
      <c r="K231" s="9">
        <v>87.406082289803223</v>
      </c>
      <c r="N231" s="10"/>
      <c r="O231" s="10"/>
    </row>
    <row r="232" spans="1:15" x14ac:dyDescent="0.2">
      <c r="A232" s="6" t="s">
        <v>11</v>
      </c>
      <c r="B232" s="6" t="s">
        <v>199</v>
      </c>
      <c r="C232" s="9">
        <v>2021</v>
      </c>
      <c r="D232" s="6" t="s">
        <v>186</v>
      </c>
      <c r="E232" s="10">
        <v>14.48</v>
      </c>
      <c r="F232" s="10">
        <v>1.1138461538461539</v>
      </c>
      <c r="G232" s="9">
        <v>51.402200922967694</v>
      </c>
      <c r="H232" s="11">
        <v>44420</v>
      </c>
      <c r="I232" s="11">
        <v>44578</v>
      </c>
      <c r="J232" s="9">
        <v>118.07784431137725</v>
      </c>
      <c r="K232" s="9">
        <v>94.462275449101796</v>
      </c>
      <c r="N232" s="10"/>
      <c r="O232" s="10"/>
    </row>
    <row r="233" spans="1:15" x14ac:dyDescent="0.2">
      <c r="A233" s="6" t="s">
        <v>12</v>
      </c>
      <c r="B233" s="6" t="s">
        <v>200</v>
      </c>
      <c r="C233" s="9">
        <v>2022</v>
      </c>
      <c r="D233" s="6" t="s">
        <v>186</v>
      </c>
      <c r="E233" s="10">
        <v>20.41</v>
      </c>
      <c r="F233" s="10">
        <v>1.1521774193548386</v>
      </c>
      <c r="G233" s="9">
        <v>51.358832410669351</v>
      </c>
      <c r="H233" s="11">
        <v>44716</v>
      </c>
      <c r="I233" s="11">
        <v>44902</v>
      </c>
      <c r="J233" s="9">
        <v>150.36756756756756</v>
      </c>
      <c r="K233" s="9" t="s">
        <v>390</v>
      </c>
      <c r="N233" s="10"/>
      <c r="O233" s="10"/>
    </row>
    <row r="234" spans="1:15" x14ac:dyDescent="0.2">
      <c r="A234" s="6" t="s">
        <v>12</v>
      </c>
      <c r="B234" s="6" t="s">
        <v>201</v>
      </c>
      <c r="C234" s="9">
        <v>2022</v>
      </c>
      <c r="D234" s="6" t="s">
        <v>186</v>
      </c>
      <c r="E234" s="10">
        <v>18.48</v>
      </c>
      <c r="F234" s="10">
        <v>1.0266666666666666</v>
      </c>
      <c r="G234" s="9">
        <v>50.464227198252324</v>
      </c>
      <c r="H234" s="11">
        <v>44733</v>
      </c>
      <c r="I234" s="11">
        <v>44907</v>
      </c>
      <c r="J234" s="9">
        <v>145.64772727272728</v>
      </c>
      <c r="K234" s="9" t="s">
        <v>390</v>
      </c>
      <c r="N234" s="10"/>
      <c r="O234" s="10"/>
    </row>
    <row r="235" spans="1:15" x14ac:dyDescent="0.2">
      <c r="A235" s="6" t="s">
        <v>13</v>
      </c>
      <c r="B235" s="6" t="s">
        <v>202</v>
      </c>
      <c r="C235" s="9">
        <v>2023</v>
      </c>
      <c r="D235" s="6" t="s">
        <v>186</v>
      </c>
      <c r="E235" s="10">
        <v>30.59</v>
      </c>
      <c r="F235" s="10">
        <v>1.3814838709677419</v>
      </c>
      <c r="G235" s="9">
        <v>49.92655459441815</v>
      </c>
      <c r="H235" s="11">
        <v>45033</v>
      </c>
      <c r="I235" s="11">
        <v>45251</v>
      </c>
      <c r="J235" s="9">
        <v>178.70416666666668</v>
      </c>
      <c r="K235" s="9">
        <v>137.46474358974359</v>
      </c>
      <c r="N235" s="10"/>
      <c r="O235" s="10"/>
    </row>
    <row r="236" spans="1:15" x14ac:dyDescent="0.2">
      <c r="A236" s="6" t="s">
        <v>14</v>
      </c>
      <c r="B236" s="6" t="s">
        <v>203</v>
      </c>
      <c r="C236" s="9">
        <v>2024</v>
      </c>
      <c r="D236" s="6" t="s">
        <v>186</v>
      </c>
      <c r="E236" s="10">
        <v>23.14</v>
      </c>
      <c r="F236" s="10">
        <v>1.0944594594594594</v>
      </c>
      <c r="G236" s="9">
        <v>49.302541616330771</v>
      </c>
      <c r="H236" s="11">
        <v>45399</v>
      </c>
      <c r="I236" s="11">
        <v>45625</v>
      </c>
      <c r="J236" s="9">
        <v>109.51430000000002</v>
      </c>
      <c r="K236" s="9">
        <v>81.121703703703716</v>
      </c>
      <c r="N236" s="10"/>
      <c r="O236" s="10"/>
    </row>
    <row r="237" spans="1:15" x14ac:dyDescent="0.2">
      <c r="A237" s="6" t="s">
        <v>13</v>
      </c>
      <c r="B237" s="6" t="s">
        <v>201</v>
      </c>
      <c r="C237" s="9">
        <v>2024</v>
      </c>
      <c r="D237" s="6" t="s">
        <v>186</v>
      </c>
      <c r="E237" s="10">
        <v>21.71</v>
      </c>
      <c r="F237" s="10">
        <v>1.8996250000000001</v>
      </c>
      <c r="G237" s="9">
        <v>48.951521984216463</v>
      </c>
      <c r="H237" s="11">
        <v>45364</v>
      </c>
      <c r="I237" s="11">
        <v>45527</v>
      </c>
      <c r="J237" s="9">
        <v>169.64480874316939</v>
      </c>
      <c r="K237" s="9">
        <v>127.55248777681909</v>
      </c>
      <c r="N237" s="10"/>
      <c r="O237" s="10"/>
    </row>
    <row r="238" spans="1:15" x14ac:dyDescent="0.2">
      <c r="A238" s="6" t="s">
        <v>13</v>
      </c>
      <c r="B238" s="6" t="s">
        <v>204</v>
      </c>
      <c r="C238" s="9">
        <v>2022</v>
      </c>
      <c r="D238" s="6" t="s">
        <v>186</v>
      </c>
      <c r="E238" s="10">
        <v>19.88</v>
      </c>
      <c r="F238" s="10">
        <v>1.4963440860215051</v>
      </c>
      <c r="G238" s="9">
        <v>48.618244069454633</v>
      </c>
      <c r="H238" s="11">
        <v>44672</v>
      </c>
      <c r="I238" s="11">
        <v>44828</v>
      </c>
      <c r="J238" s="9">
        <v>181.15822784810126</v>
      </c>
      <c r="K238" s="9">
        <v>139.35248296007788</v>
      </c>
      <c r="N238" s="10"/>
      <c r="O238" s="10"/>
    </row>
    <row r="239" spans="1:15" x14ac:dyDescent="0.2">
      <c r="A239" s="6" t="s">
        <v>13</v>
      </c>
      <c r="B239" s="6" t="s">
        <v>205</v>
      </c>
      <c r="C239" s="9">
        <v>2024</v>
      </c>
      <c r="D239" s="6" t="s">
        <v>186</v>
      </c>
      <c r="E239" s="10">
        <v>12.74</v>
      </c>
      <c r="F239" s="10">
        <v>1.0875609756097562</v>
      </c>
      <c r="G239" s="9">
        <v>47.537313432835823</v>
      </c>
      <c r="H239" s="11">
        <v>45281</v>
      </c>
      <c r="I239" s="11">
        <v>45451</v>
      </c>
      <c r="J239" s="9">
        <v>110.35294117647059</v>
      </c>
      <c r="K239" s="9">
        <v>110.35294117647059</v>
      </c>
      <c r="N239" s="10"/>
      <c r="O239" s="10"/>
    </row>
    <row r="240" spans="1:15" x14ac:dyDescent="0.2">
      <c r="A240" s="6" t="s">
        <v>18</v>
      </c>
      <c r="B240" s="6" t="s">
        <v>206</v>
      </c>
      <c r="C240" s="9">
        <v>2025</v>
      </c>
      <c r="D240" s="6" t="s">
        <v>186</v>
      </c>
      <c r="E240" s="10">
        <v>39.04</v>
      </c>
      <c r="F240" s="10">
        <v>1.0801581027667984</v>
      </c>
      <c r="G240" s="9">
        <v>47.26272092356006</v>
      </c>
      <c r="H240" s="11">
        <v>45642</v>
      </c>
      <c r="I240" s="11">
        <v>45966</v>
      </c>
      <c r="J240" s="9">
        <v>159.28779614325069</v>
      </c>
      <c r="K240" s="9">
        <v>101.78133938865859</v>
      </c>
      <c r="N240" s="10"/>
      <c r="O240" s="10"/>
    </row>
    <row r="241" spans="1:15" x14ac:dyDescent="0.2">
      <c r="A241" s="6" t="s">
        <v>13</v>
      </c>
      <c r="B241" s="6" t="s">
        <v>207</v>
      </c>
      <c r="C241" s="9">
        <v>2026</v>
      </c>
      <c r="D241" s="6" t="s">
        <v>186</v>
      </c>
      <c r="E241" s="10">
        <v>17.7</v>
      </c>
      <c r="F241" s="10">
        <v>1.3615384615384616</v>
      </c>
      <c r="G241" s="9">
        <v>47.2</v>
      </c>
      <c r="H241" s="11">
        <v>46021</v>
      </c>
      <c r="I241" s="11">
        <v>46209</v>
      </c>
      <c r="J241" s="9">
        <v>122.09302325581395</v>
      </c>
      <c r="K241" s="9">
        <v>93.91771019677995</v>
      </c>
      <c r="N241" s="10"/>
      <c r="O241" s="10"/>
    </row>
    <row r="242" spans="1:15" x14ac:dyDescent="0.2">
      <c r="A242" s="6" t="s">
        <v>13</v>
      </c>
      <c r="B242" s="6" t="s">
        <v>208</v>
      </c>
      <c r="C242" s="9">
        <v>2021</v>
      </c>
      <c r="D242" s="6" t="s">
        <v>186</v>
      </c>
      <c r="E242" s="10">
        <v>19.5</v>
      </c>
      <c r="F242" s="10">
        <v>0.84259259259259256</v>
      </c>
      <c r="G242" s="9">
        <v>46.307290429826644</v>
      </c>
      <c r="H242" s="11">
        <v>44217</v>
      </c>
      <c r="I242" s="11">
        <v>44439</v>
      </c>
      <c r="J242" s="9">
        <v>132.77927927927928</v>
      </c>
      <c r="K242" s="9">
        <v>102.13790713790713</v>
      </c>
      <c r="N242" s="10"/>
      <c r="O242" s="10"/>
    </row>
    <row r="243" spans="1:15" x14ac:dyDescent="0.2">
      <c r="A243" s="6" t="s">
        <v>12</v>
      </c>
      <c r="B243" s="6" t="s">
        <v>209</v>
      </c>
      <c r="C243" s="9">
        <v>2022</v>
      </c>
      <c r="D243" s="6" t="s">
        <v>186</v>
      </c>
      <c r="E243" s="10">
        <v>13.67</v>
      </c>
      <c r="F243" s="10">
        <v>0.98649484536082466</v>
      </c>
      <c r="G243" s="9">
        <v>46.276235612728506</v>
      </c>
      <c r="H243" s="11">
        <v>44610</v>
      </c>
      <c r="I243" s="11">
        <v>44760</v>
      </c>
      <c r="J243" s="9">
        <v>135.15032679738562</v>
      </c>
      <c r="K243" s="9" t="s">
        <v>390</v>
      </c>
      <c r="N243" s="10"/>
      <c r="O243" s="10"/>
    </row>
    <row r="244" spans="1:15" x14ac:dyDescent="0.2">
      <c r="A244" s="6" t="s">
        <v>11</v>
      </c>
      <c r="B244" s="6" t="s">
        <v>210</v>
      </c>
      <c r="C244" s="9">
        <v>2021</v>
      </c>
      <c r="D244" s="6" t="s">
        <v>186</v>
      </c>
      <c r="E244" s="10">
        <v>20.92</v>
      </c>
      <c r="F244" s="10">
        <v>1.284561403508772</v>
      </c>
      <c r="G244" s="9">
        <v>44.6245733788396</v>
      </c>
      <c r="H244" s="11">
        <v>44393</v>
      </c>
      <c r="I244" s="11">
        <v>44573</v>
      </c>
      <c r="J244" s="9">
        <v>173.62962962962962</v>
      </c>
      <c r="K244" s="9">
        <v>103.96983810157462</v>
      </c>
      <c r="N244" s="10"/>
      <c r="O244" s="10"/>
    </row>
    <row r="245" spans="1:15" x14ac:dyDescent="0.2">
      <c r="A245" s="6" t="s">
        <v>12</v>
      </c>
      <c r="B245" s="6" t="s">
        <v>211</v>
      </c>
      <c r="C245" s="9">
        <v>2022</v>
      </c>
      <c r="D245" s="6" t="s">
        <v>186</v>
      </c>
      <c r="E245" s="10">
        <v>13.8</v>
      </c>
      <c r="F245" s="10">
        <v>0.89444444444444449</v>
      </c>
      <c r="G245" s="9">
        <v>42.963885429638857</v>
      </c>
      <c r="H245" s="11">
        <v>44610</v>
      </c>
      <c r="I245" s="11">
        <v>44758</v>
      </c>
      <c r="J245" s="9">
        <v>146.95424836601308</v>
      </c>
      <c r="K245" s="9" t="s">
        <v>390</v>
      </c>
      <c r="N245" s="10"/>
      <c r="O245" s="10"/>
    </row>
    <row r="246" spans="1:15" x14ac:dyDescent="0.2">
      <c r="A246" s="6" t="s">
        <v>12</v>
      </c>
      <c r="B246" s="6" t="s">
        <v>212</v>
      </c>
      <c r="C246" s="9">
        <v>2022</v>
      </c>
      <c r="D246" s="6" t="s">
        <v>186</v>
      </c>
      <c r="E246" s="10">
        <v>18.78</v>
      </c>
      <c r="F246" s="10">
        <v>1.0351181102362206</v>
      </c>
      <c r="G246" s="9">
        <v>42.643051771117165</v>
      </c>
      <c r="H246" s="11">
        <v>44728</v>
      </c>
      <c r="I246" s="11">
        <v>44908</v>
      </c>
      <c r="J246" s="9">
        <v>170.32044198895028</v>
      </c>
      <c r="K246" s="9" t="s">
        <v>390</v>
      </c>
      <c r="N246" s="10"/>
      <c r="O246" s="10"/>
    </row>
    <row r="247" spans="1:15" x14ac:dyDescent="0.2">
      <c r="A247" s="6" t="s">
        <v>13</v>
      </c>
      <c r="B247" s="6" t="s">
        <v>213</v>
      </c>
      <c r="C247" s="9">
        <v>2021</v>
      </c>
      <c r="D247" s="6" t="s">
        <v>186</v>
      </c>
      <c r="E247" s="10">
        <v>13.445870535714286</v>
      </c>
      <c r="F247" s="10">
        <v>0.5882568359375</v>
      </c>
      <c r="G247" s="9">
        <v>42.577170790735551</v>
      </c>
      <c r="H247" s="11">
        <v>44442</v>
      </c>
      <c r="I247" s="11">
        <v>44656</v>
      </c>
      <c r="J247" s="9">
        <v>96.532751091703048</v>
      </c>
      <c r="K247" s="9">
        <v>96.532751091703048</v>
      </c>
      <c r="N247" s="10"/>
      <c r="O247" s="10"/>
    </row>
    <row r="248" spans="1:15" x14ac:dyDescent="0.2">
      <c r="A248" s="6" t="s">
        <v>14</v>
      </c>
      <c r="B248" s="6" t="s">
        <v>214</v>
      </c>
      <c r="C248" s="9">
        <v>2025</v>
      </c>
      <c r="D248" s="6" t="s">
        <v>186</v>
      </c>
      <c r="E248" s="10">
        <v>5.79</v>
      </c>
      <c r="F248" s="10">
        <v>0.60492537313432837</v>
      </c>
      <c r="G248" s="9">
        <v>42.573529411764703</v>
      </c>
      <c r="H248" s="11">
        <v>45555</v>
      </c>
      <c r="I248" s="11">
        <v>45734</v>
      </c>
      <c r="J248" s="9">
        <v>48.571428571428569</v>
      </c>
      <c r="K248" s="9">
        <v>61.482820976491858</v>
      </c>
      <c r="N248" s="10"/>
      <c r="O248" s="10"/>
    </row>
    <row r="249" spans="1:15" x14ac:dyDescent="0.2">
      <c r="A249" s="6" t="s">
        <v>13</v>
      </c>
      <c r="B249" s="6" t="s">
        <v>215</v>
      </c>
      <c r="C249" s="9">
        <v>2021</v>
      </c>
      <c r="D249" s="6" t="s">
        <v>186</v>
      </c>
      <c r="E249" s="10">
        <v>17.8</v>
      </c>
      <c r="F249" s="10">
        <v>1.5195121951219515</v>
      </c>
      <c r="G249" s="9">
        <v>41.754632887637811</v>
      </c>
      <c r="H249" s="11">
        <v>44299</v>
      </c>
      <c r="I249" s="11">
        <v>44441</v>
      </c>
      <c r="J249" s="9">
        <v>210.14788732394368</v>
      </c>
      <c r="K249" s="9">
        <v>161.6522210184182</v>
      </c>
      <c r="N249" s="10"/>
      <c r="O249" s="10"/>
    </row>
    <row r="250" spans="1:15" x14ac:dyDescent="0.2">
      <c r="A250" s="6" t="s">
        <v>11</v>
      </c>
      <c r="B250" s="6" t="s">
        <v>216</v>
      </c>
      <c r="C250" s="9">
        <v>2023</v>
      </c>
      <c r="D250" s="6" t="s">
        <v>186</v>
      </c>
      <c r="E250" s="10">
        <v>16.376507201646088</v>
      </c>
      <c r="F250" s="10">
        <v>1.2460385914295937</v>
      </c>
      <c r="G250" s="9">
        <v>41.167690300769451</v>
      </c>
      <c r="H250" s="11">
        <v>45082</v>
      </c>
      <c r="I250" s="11">
        <v>45239</v>
      </c>
      <c r="J250" s="9">
        <v>166.74251497005989</v>
      </c>
      <c r="K250" s="9">
        <v>108.98203592814372</v>
      </c>
      <c r="N250" s="10"/>
      <c r="O250" s="10"/>
    </row>
    <row r="251" spans="1:15" x14ac:dyDescent="0.2">
      <c r="A251" s="6" t="s">
        <v>14</v>
      </c>
      <c r="B251" s="6" t="s">
        <v>211</v>
      </c>
      <c r="C251" s="9">
        <v>2023</v>
      </c>
      <c r="D251" s="6" t="s">
        <v>186</v>
      </c>
      <c r="E251" s="10">
        <v>10.01</v>
      </c>
      <c r="F251" s="10">
        <v>0.63700000000000001</v>
      </c>
      <c r="G251" s="9">
        <v>40.890522875816991</v>
      </c>
      <c r="H251" s="11">
        <v>45177</v>
      </c>
      <c r="I251" s="11">
        <v>45354</v>
      </c>
      <c r="J251" s="9">
        <v>91.148936170212764</v>
      </c>
      <c r="K251" s="9">
        <v>151.91489361702128</v>
      </c>
      <c r="N251" s="10"/>
      <c r="O251" s="10"/>
    </row>
    <row r="252" spans="1:15" x14ac:dyDescent="0.2">
      <c r="A252" s="6" t="s">
        <v>11</v>
      </c>
      <c r="B252" s="6" t="s">
        <v>217</v>
      </c>
      <c r="C252" s="9">
        <v>2021</v>
      </c>
      <c r="D252" s="6" t="s">
        <v>186</v>
      </c>
      <c r="E252" s="10">
        <v>19.13</v>
      </c>
      <c r="F252" s="10">
        <v>1.1746491228070175</v>
      </c>
      <c r="G252" s="9">
        <v>40.806313993174058</v>
      </c>
      <c r="H252" s="11">
        <v>44396</v>
      </c>
      <c r="I252" s="11">
        <v>44573</v>
      </c>
      <c r="J252" s="9">
        <v>173.62962962962962</v>
      </c>
      <c r="K252" s="9">
        <v>103.96983810157462</v>
      </c>
      <c r="N252" s="10"/>
      <c r="O252" s="10"/>
    </row>
    <row r="253" spans="1:15" x14ac:dyDescent="0.2">
      <c r="A253" s="6" t="s">
        <v>11</v>
      </c>
      <c r="B253" s="6" t="s">
        <v>218</v>
      </c>
      <c r="C253" s="9">
        <v>2023</v>
      </c>
      <c r="D253" s="6" t="s">
        <v>186</v>
      </c>
      <c r="E253" s="10">
        <v>16.092064471879286</v>
      </c>
      <c r="F253" s="10">
        <v>1.2112306591737096</v>
      </c>
      <c r="G253" s="9">
        <v>40.687900055320576</v>
      </c>
      <c r="H253" s="11">
        <v>45082</v>
      </c>
      <c r="I253" s="11">
        <v>45239</v>
      </c>
      <c r="J253" s="9">
        <v>165.77844311377245</v>
      </c>
      <c r="K253" s="9">
        <v>108.35192360377285</v>
      </c>
      <c r="N253" s="10"/>
      <c r="O253" s="10"/>
    </row>
    <row r="254" spans="1:15" x14ac:dyDescent="0.2">
      <c r="A254" s="6" t="s">
        <v>13</v>
      </c>
      <c r="B254" s="6" t="s">
        <v>219</v>
      </c>
      <c r="C254" s="9">
        <v>2023</v>
      </c>
      <c r="D254" s="6" t="s">
        <v>186</v>
      </c>
      <c r="E254" s="10">
        <v>22.35</v>
      </c>
      <c r="F254" s="10">
        <v>1.141970802919708</v>
      </c>
      <c r="G254" s="9">
        <v>39.662821650399287</v>
      </c>
      <c r="H254" s="11">
        <v>45040</v>
      </c>
      <c r="I254" s="11">
        <v>45251</v>
      </c>
      <c r="J254" s="9">
        <v>164.35416666666669</v>
      </c>
      <c r="K254" s="9">
        <v>123.57456140350878</v>
      </c>
      <c r="N254" s="10"/>
      <c r="O254" s="10"/>
    </row>
    <row r="255" spans="1:15" x14ac:dyDescent="0.2">
      <c r="A255" s="6" t="s">
        <v>14</v>
      </c>
      <c r="B255" s="6" t="s">
        <v>213</v>
      </c>
      <c r="C255" s="9">
        <v>2025</v>
      </c>
      <c r="D255" s="6" t="s">
        <v>186</v>
      </c>
      <c r="E255" s="10">
        <v>23.43</v>
      </c>
      <c r="F255" s="10">
        <v>0.84979274611398958</v>
      </c>
      <c r="G255" s="9">
        <v>39.430637083310891</v>
      </c>
      <c r="H255" s="11">
        <v>45764</v>
      </c>
      <c r="I255" s="11">
        <v>46035</v>
      </c>
      <c r="J255" s="9">
        <v>108.88628272251309</v>
      </c>
      <c r="K255" s="9">
        <v>68.053926701570674</v>
      </c>
      <c r="N255" s="10"/>
      <c r="O255" s="10"/>
    </row>
    <row r="256" spans="1:15" x14ac:dyDescent="0.2">
      <c r="A256" s="6" t="s">
        <v>13</v>
      </c>
      <c r="B256" s="6" t="s">
        <v>220</v>
      </c>
      <c r="C256" s="9">
        <v>2024</v>
      </c>
      <c r="D256" s="6" t="s">
        <v>186</v>
      </c>
      <c r="E256" s="10">
        <v>16.05</v>
      </c>
      <c r="F256" s="10">
        <v>1.1014705882352942</v>
      </c>
      <c r="G256" s="9">
        <v>38.351254480286741</v>
      </c>
      <c r="H256" s="11">
        <v>45449</v>
      </c>
      <c r="I256" s="11">
        <v>45621</v>
      </c>
      <c r="J256" s="9">
        <v>151.78756476683938</v>
      </c>
      <c r="K256" s="9">
        <v>151.78756476683938</v>
      </c>
      <c r="N256" s="10"/>
      <c r="O256" s="10"/>
    </row>
    <row r="257" spans="1:15" x14ac:dyDescent="0.2">
      <c r="A257" s="6" t="s">
        <v>13</v>
      </c>
      <c r="B257" s="6" t="s">
        <v>209</v>
      </c>
      <c r="C257" s="9">
        <v>2021</v>
      </c>
      <c r="D257" s="6" t="s">
        <v>186</v>
      </c>
      <c r="E257" s="10">
        <v>14.153789659224442</v>
      </c>
      <c r="F257" s="10">
        <v>0.59327262044653351</v>
      </c>
      <c r="G257" s="9">
        <v>38.212175105897522</v>
      </c>
      <c r="H257" s="11">
        <v>44442</v>
      </c>
      <c r="I257" s="11">
        <v>44656</v>
      </c>
      <c r="J257" s="9">
        <v>113.22270742358079</v>
      </c>
      <c r="K257" s="9">
        <v>113.22270742358079</v>
      </c>
      <c r="N257" s="10"/>
      <c r="O257" s="10"/>
    </row>
    <row r="258" spans="1:15" x14ac:dyDescent="0.2">
      <c r="A258" s="6" t="s">
        <v>13</v>
      </c>
      <c r="B258" s="6" t="s">
        <v>221</v>
      </c>
      <c r="C258" s="9">
        <v>2024</v>
      </c>
      <c r="D258" s="6" t="s">
        <v>186</v>
      </c>
      <c r="E258" s="10">
        <v>13.58</v>
      </c>
      <c r="F258" s="10">
        <v>1.0680898876404494</v>
      </c>
      <c r="G258" s="9">
        <v>36.145861059355866</v>
      </c>
      <c r="H258" s="11">
        <v>45451</v>
      </c>
      <c r="I258" s="11">
        <v>45608</v>
      </c>
      <c r="J258" s="9">
        <v>146.10555555555555</v>
      </c>
      <c r="K258" s="9">
        <v>146.10555555555555</v>
      </c>
      <c r="N258" s="10"/>
      <c r="O258" s="10"/>
    </row>
    <row r="259" spans="1:15" x14ac:dyDescent="0.2">
      <c r="A259" s="6" t="s">
        <v>13</v>
      </c>
      <c r="B259" s="6" t="s">
        <v>222</v>
      </c>
      <c r="C259" s="9">
        <v>2025</v>
      </c>
      <c r="D259" s="6" t="s">
        <v>186</v>
      </c>
      <c r="E259" s="10">
        <v>12.6</v>
      </c>
      <c r="F259" s="10">
        <v>1.0137931034482759</v>
      </c>
      <c r="G259" s="9">
        <v>35.866780529461998</v>
      </c>
      <c r="H259" s="11">
        <v>45827</v>
      </c>
      <c r="I259" s="11">
        <v>45988</v>
      </c>
      <c r="J259" s="9">
        <v>146.375</v>
      </c>
      <c r="K259" s="9">
        <v>97.583333333333329</v>
      </c>
      <c r="N259" s="10"/>
      <c r="O259" s="10"/>
    </row>
    <row r="260" spans="1:15" x14ac:dyDescent="0.2">
      <c r="A260" s="6" t="s">
        <v>12</v>
      </c>
      <c r="B260" s="6" t="s">
        <v>213</v>
      </c>
      <c r="C260" s="9">
        <v>2022</v>
      </c>
      <c r="D260" s="6" t="s">
        <v>186</v>
      </c>
      <c r="E260" s="10">
        <v>14.71</v>
      </c>
      <c r="F260" s="10">
        <v>0.85808333333333342</v>
      </c>
      <c r="G260" s="9">
        <v>35.626059578590457</v>
      </c>
      <c r="H260" s="11">
        <v>44610</v>
      </c>
      <c r="I260" s="11">
        <v>44761</v>
      </c>
      <c r="J260" s="9">
        <v>187.68181818181819</v>
      </c>
      <c r="K260" s="9" t="s">
        <v>390</v>
      </c>
      <c r="N260" s="10"/>
      <c r="O260" s="10"/>
    </row>
    <row r="261" spans="1:15" x14ac:dyDescent="0.2">
      <c r="A261" s="6" t="s">
        <v>11</v>
      </c>
      <c r="B261" s="6" t="s">
        <v>223</v>
      </c>
      <c r="C261" s="9">
        <v>2024</v>
      </c>
      <c r="D261" s="6" t="s">
        <v>186</v>
      </c>
      <c r="E261" s="10">
        <v>13.96</v>
      </c>
      <c r="F261" s="10">
        <v>1.1633333333333333</v>
      </c>
      <c r="G261" s="9">
        <v>33.719806763285021</v>
      </c>
      <c r="H261" s="11">
        <v>45449</v>
      </c>
      <c r="I261" s="11">
        <v>45604</v>
      </c>
      <c r="J261" s="9">
        <v>168.48837209302326</v>
      </c>
      <c r="K261" s="9">
        <v>104.65116279069767</v>
      </c>
    </row>
    <row r="262" spans="1:15" x14ac:dyDescent="0.2">
      <c r="A262" s="6" t="s">
        <v>13</v>
      </c>
      <c r="B262" s="6" t="s">
        <v>220</v>
      </c>
      <c r="C262" s="9">
        <v>2021</v>
      </c>
      <c r="D262" s="6" t="s">
        <v>186</v>
      </c>
      <c r="E262" s="10">
        <v>12.171463289843949</v>
      </c>
      <c r="F262" s="10">
        <v>0.53585058508746941</v>
      </c>
      <c r="G262" s="9">
        <v>31.548634758537972</v>
      </c>
      <c r="H262" s="11">
        <v>44442</v>
      </c>
      <c r="I262" s="11">
        <v>44655</v>
      </c>
      <c r="J262" s="9">
        <v>117.41739130434783</v>
      </c>
      <c r="K262" s="9">
        <v>117.41739130434783</v>
      </c>
    </row>
    <row r="263" spans="1:15" x14ac:dyDescent="0.2">
      <c r="A263" s="6" t="s">
        <v>18</v>
      </c>
      <c r="B263" s="6" t="s">
        <v>224</v>
      </c>
      <c r="C263" s="9">
        <v>2025</v>
      </c>
      <c r="D263" s="6" t="s">
        <v>186</v>
      </c>
      <c r="E263" s="10">
        <v>28.05</v>
      </c>
      <c r="F263" s="10">
        <v>0.83910256410256412</v>
      </c>
      <c r="G263" s="9">
        <v>29.219389174138183</v>
      </c>
      <c r="H263" s="11">
        <v>45642</v>
      </c>
      <c r="I263" s="11">
        <v>45961</v>
      </c>
      <c r="J263" s="9">
        <v>185.11991735537194</v>
      </c>
      <c r="K263" s="9">
        <v>118.28748712803319</v>
      </c>
    </row>
    <row r="264" spans="1:15" x14ac:dyDescent="0.2">
      <c r="A264" s="6" t="s">
        <v>13</v>
      </c>
      <c r="B264" s="6" t="s">
        <v>225</v>
      </c>
      <c r="C264" s="9">
        <v>2024</v>
      </c>
      <c r="D264" s="6" t="s">
        <v>186</v>
      </c>
      <c r="E264" s="10">
        <v>11.29</v>
      </c>
      <c r="F264" s="10">
        <v>0.88797752808988761</v>
      </c>
      <c r="G264" s="9">
        <v>26.545967552316007</v>
      </c>
      <c r="H264" s="11">
        <v>45451</v>
      </c>
      <c r="I264" s="11">
        <v>45608</v>
      </c>
      <c r="J264" s="9">
        <v>161.79891304347828</v>
      </c>
      <c r="K264" s="9">
        <v>161.79891304347828</v>
      </c>
    </row>
    <row r="265" spans="1:15" x14ac:dyDescent="0.2">
      <c r="A265" s="6" t="s">
        <v>18</v>
      </c>
      <c r="B265" s="6" t="s">
        <v>226</v>
      </c>
      <c r="C265" s="9">
        <v>2022</v>
      </c>
      <c r="D265" s="6" t="s">
        <v>186</v>
      </c>
      <c r="E265" s="10">
        <v>5.96</v>
      </c>
      <c r="F265" s="10">
        <v>0.5637837837837838</v>
      </c>
      <c r="G265" s="9">
        <v>25.92600648150162</v>
      </c>
      <c r="H265" s="11">
        <v>44799</v>
      </c>
      <c r="I265" s="11">
        <v>44943</v>
      </c>
      <c r="J265" s="9">
        <v>111.74965277777777</v>
      </c>
      <c r="K265" s="9">
        <v>111.74965277777777</v>
      </c>
    </row>
    <row r="266" spans="1:15" x14ac:dyDescent="0.2">
      <c r="A266" s="6" t="s">
        <v>12</v>
      </c>
      <c r="B266" s="6" t="s">
        <v>227</v>
      </c>
      <c r="C266" s="9">
        <v>2021</v>
      </c>
      <c r="D266" s="6" t="s">
        <v>186</v>
      </c>
      <c r="E266" s="10">
        <v>16.16</v>
      </c>
      <c r="F266" s="10">
        <v>0.70260869565217388</v>
      </c>
      <c r="G266" s="9">
        <v>25.242111840049983</v>
      </c>
      <c r="H266" s="11">
        <v>44344</v>
      </c>
      <c r="I266" s="11">
        <v>44558</v>
      </c>
      <c r="J266" s="9">
        <v>137.04587155963301</v>
      </c>
      <c r="K266" s="9" t="s">
        <v>390</v>
      </c>
    </row>
    <row r="267" spans="1:15" x14ac:dyDescent="0.2">
      <c r="A267" s="6" t="s">
        <v>13</v>
      </c>
      <c r="B267" s="6" t="s">
        <v>228</v>
      </c>
      <c r="C267" s="9">
        <v>2022</v>
      </c>
      <c r="D267" s="6" t="s">
        <v>186</v>
      </c>
      <c r="E267" s="10">
        <v>8.4</v>
      </c>
      <c r="F267" s="10">
        <v>0.41118881118881123</v>
      </c>
      <c r="G267" s="9">
        <v>24.859425865640723</v>
      </c>
      <c r="H267" s="11">
        <v>44798</v>
      </c>
      <c r="I267" s="11">
        <v>45012</v>
      </c>
      <c r="J267" s="9">
        <v>98.145228215767631</v>
      </c>
      <c r="K267" s="9" t="s">
        <v>390</v>
      </c>
    </row>
    <row r="268" spans="1:15" x14ac:dyDescent="0.2">
      <c r="A268" s="6" t="s">
        <v>18</v>
      </c>
      <c r="B268" s="6" t="s">
        <v>224</v>
      </c>
      <c r="C268" s="9">
        <v>2024</v>
      </c>
      <c r="D268" s="6" t="s">
        <v>186</v>
      </c>
      <c r="E268" s="10">
        <v>25.2</v>
      </c>
      <c r="F268" s="10">
        <v>0.68906250000000002</v>
      </c>
      <c r="G268" s="9">
        <v>23.71900880897633</v>
      </c>
      <c r="H268" s="11">
        <v>45274</v>
      </c>
      <c r="I268" s="11">
        <v>45605</v>
      </c>
      <c r="J268" s="9">
        <v>201.00197297297296</v>
      </c>
      <c r="K268" s="9">
        <v>121.81937755937756</v>
      </c>
    </row>
    <row r="269" spans="1:15" x14ac:dyDescent="0.2">
      <c r="A269" s="6" t="s">
        <v>11</v>
      </c>
      <c r="B269" s="6" t="s">
        <v>229</v>
      </c>
      <c r="C269" s="9">
        <v>2016</v>
      </c>
      <c r="D269" s="6" t="s">
        <v>186</v>
      </c>
      <c r="E269" s="10">
        <v>16.516581196581196</v>
      </c>
      <c r="F269" s="10">
        <v>0.5839195372528706</v>
      </c>
      <c r="G269" s="9">
        <v>22.110871488154761</v>
      </c>
      <c r="H269" s="11">
        <v>42587</v>
      </c>
      <c r="I269" s="11">
        <v>42858</v>
      </c>
      <c r="J269" s="9">
        <v>192.9492280807797</v>
      </c>
      <c r="K269" s="9" t="s">
        <v>390</v>
      </c>
    </row>
    <row r="270" spans="1:15" x14ac:dyDescent="0.2">
      <c r="A270" s="6" t="s">
        <v>13</v>
      </c>
      <c r="B270" s="6" t="s">
        <v>230</v>
      </c>
      <c r="C270" s="9">
        <v>2024</v>
      </c>
      <c r="D270" s="6" t="s">
        <v>186</v>
      </c>
      <c r="E270" s="10">
        <v>5</v>
      </c>
      <c r="F270" s="10">
        <v>0.53030303030303028</v>
      </c>
      <c r="G270" s="9">
        <v>21.267545725223311</v>
      </c>
      <c r="H270" s="11">
        <v>45555</v>
      </c>
      <c r="I270" s="11">
        <v>45719</v>
      </c>
      <c r="J270" s="9">
        <v>89.928961748633881</v>
      </c>
      <c r="K270" s="9">
        <v>112.41120218579235</v>
      </c>
    </row>
    <row r="271" spans="1:15" x14ac:dyDescent="0.2">
      <c r="A271" s="6" t="s">
        <v>17</v>
      </c>
      <c r="B271" s="6" t="s">
        <v>231</v>
      </c>
      <c r="C271" s="9">
        <v>2025</v>
      </c>
      <c r="D271" s="6" t="s">
        <v>186</v>
      </c>
      <c r="E271" s="10">
        <v>16.22</v>
      </c>
      <c r="F271" s="10">
        <v>0.82875912408759111</v>
      </c>
      <c r="G271" s="9">
        <v>20.361536530253577</v>
      </c>
      <c r="H271" s="11">
        <v>45729</v>
      </c>
      <c r="I271" s="11">
        <v>45950</v>
      </c>
      <c r="J271" s="9">
        <v>202.03623188405797</v>
      </c>
      <c r="K271" s="9">
        <v>161.62898550724637</v>
      </c>
    </row>
    <row r="272" spans="1:15" x14ac:dyDescent="0.2">
      <c r="A272" s="6" t="s">
        <v>11</v>
      </c>
      <c r="B272" s="6" t="s">
        <v>232</v>
      </c>
      <c r="C272" s="9">
        <v>2016</v>
      </c>
      <c r="D272" s="6" t="s">
        <v>186</v>
      </c>
      <c r="E272" s="10">
        <v>14.650560897435897</v>
      </c>
      <c r="F272" s="10">
        <v>0.51534636322638838</v>
      </c>
      <c r="G272" s="9">
        <v>19.612816077194154</v>
      </c>
      <c r="H272" s="11">
        <v>42587</v>
      </c>
      <c r="I272" s="11">
        <v>42859</v>
      </c>
      <c r="J272" s="9">
        <v>192.23985591871804</v>
      </c>
      <c r="K272" s="9" t="s">
        <v>390</v>
      </c>
      <c r="N272" s="10"/>
      <c r="O272" s="10"/>
    </row>
    <row r="273" spans="1:15" x14ac:dyDescent="0.2">
      <c r="A273" s="6" t="s">
        <v>12</v>
      </c>
      <c r="B273" s="6" t="s">
        <v>233</v>
      </c>
      <c r="C273" s="9">
        <v>2021</v>
      </c>
      <c r="D273" s="6" t="s">
        <v>186</v>
      </c>
      <c r="E273" s="10">
        <v>19.899999999999999</v>
      </c>
      <c r="F273" s="10">
        <v>0.71804123711340195</v>
      </c>
      <c r="G273" s="9">
        <v>18.148654810761514</v>
      </c>
      <c r="H273" s="11">
        <v>44350</v>
      </c>
      <c r="I273" s="11">
        <v>44604</v>
      </c>
      <c r="J273" s="9">
        <v>302.18503937007875</v>
      </c>
      <c r="K273" s="9" t="s">
        <v>390</v>
      </c>
      <c r="N273" s="10"/>
      <c r="O273" s="10"/>
    </row>
    <row r="274" spans="1:15" x14ac:dyDescent="0.2">
      <c r="A274" s="6" t="s">
        <v>11</v>
      </c>
      <c r="B274" s="6" t="s">
        <v>234</v>
      </c>
      <c r="C274" s="9">
        <v>2019</v>
      </c>
      <c r="D274" s="6" t="s">
        <v>186</v>
      </c>
      <c r="E274" s="10">
        <v>13.208170940170943</v>
      </c>
      <c r="F274" s="10">
        <v>0.73965757264957277</v>
      </c>
      <c r="G274" s="9">
        <v>17.535295264474421</v>
      </c>
      <c r="H274" s="11">
        <v>43608</v>
      </c>
      <c r="I274" s="11">
        <v>43816</v>
      </c>
      <c r="J274" s="9">
        <v>253.49202627614693</v>
      </c>
      <c r="K274" s="9" t="s">
        <v>390</v>
      </c>
      <c r="N274" s="10"/>
      <c r="O274" s="10"/>
    </row>
    <row r="275" spans="1:15" x14ac:dyDescent="0.2">
      <c r="A275" s="6" t="s">
        <v>11</v>
      </c>
      <c r="B275" s="6" t="s">
        <v>235</v>
      </c>
      <c r="C275" s="9">
        <v>2019</v>
      </c>
      <c r="D275" s="6" t="s">
        <v>186</v>
      </c>
      <c r="E275" s="10">
        <v>11.835743589743592</v>
      </c>
      <c r="F275" s="10">
        <v>0.42270512820512829</v>
      </c>
      <c r="G275" s="9">
        <v>17.160936572647842</v>
      </c>
      <c r="H275" s="11">
        <v>43720</v>
      </c>
      <c r="I275" s="11">
        <v>43997</v>
      </c>
      <c r="J275" s="9">
        <v>174.2901456415529</v>
      </c>
      <c r="K275" s="9" t="s">
        <v>390</v>
      </c>
      <c r="N275" s="10"/>
      <c r="O275" s="10"/>
    </row>
    <row r="276" spans="1:15" x14ac:dyDescent="0.2">
      <c r="A276" s="6" t="s">
        <v>16</v>
      </c>
      <c r="B276" s="6" t="s">
        <v>236</v>
      </c>
      <c r="C276" s="9">
        <v>2022</v>
      </c>
      <c r="D276" s="6" t="s">
        <v>186</v>
      </c>
      <c r="E276" s="10">
        <v>8.61</v>
      </c>
      <c r="F276" s="10">
        <v>0.5479090909090909</v>
      </c>
      <c r="G276" s="9">
        <v>16.409376786735276</v>
      </c>
      <c r="H276" s="11">
        <v>44762</v>
      </c>
      <c r="I276" s="11">
        <v>44928</v>
      </c>
      <c r="J276" s="9">
        <v>194.33333333333334</v>
      </c>
      <c r="K276" s="9">
        <v>194.33333333333334</v>
      </c>
      <c r="N276" s="10"/>
      <c r="O276" s="10"/>
    </row>
    <row r="277" spans="1:15" x14ac:dyDescent="0.2">
      <c r="A277" s="6" t="s">
        <v>17</v>
      </c>
      <c r="B277" s="6" t="s">
        <v>237</v>
      </c>
      <c r="C277" s="9">
        <v>2025</v>
      </c>
      <c r="D277" s="6" t="s">
        <v>186</v>
      </c>
      <c r="E277" s="10">
        <v>6.35</v>
      </c>
      <c r="F277" s="10">
        <v>0.62605633802816896</v>
      </c>
      <c r="G277" s="9">
        <v>10.55167829843802</v>
      </c>
      <c r="H277" s="11">
        <v>45877</v>
      </c>
      <c r="I277" s="11">
        <v>46035</v>
      </c>
      <c r="J277" s="9">
        <v>224.07446808510639</v>
      </c>
      <c r="K277" s="9">
        <v>320.10638297872345</v>
      </c>
      <c r="N277" s="10"/>
      <c r="O277" s="10"/>
    </row>
    <row r="278" spans="1:15" x14ac:dyDescent="0.2">
      <c r="A278" s="6" t="s">
        <v>17</v>
      </c>
      <c r="B278" s="6" t="s">
        <v>238</v>
      </c>
      <c r="C278" s="9">
        <v>2025</v>
      </c>
      <c r="D278" s="6" t="s">
        <v>186</v>
      </c>
      <c r="E278" s="10">
        <v>3.25</v>
      </c>
      <c r="F278" s="10">
        <v>0.30743243243243246</v>
      </c>
      <c r="G278" s="9">
        <v>7.716049382716049</v>
      </c>
      <c r="H278" s="11">
        <v>45884</v>
      </c>
      <c r="I278" s="11">
        <v>46035</v>
      </c>
      <c r="J278" s="9">
        <v>171.41860465116278</v>
      </c>
      <c r="K278" s="9">
        <v>244.88372093023256</v>
      </c>
      <c r="N278" s="10"/>
      <c r="O278" s="10"/>
    </row>
    <row r="279" spans="1:15" x14ac:dyDescent="0.2">
      <c r="A279" s="6" t="s">
        <v>17</v>
      </c>
      <c r="B279" s="6" t="s">
        <v>239</v>
      </c>
      <c r="C279" s="9">
        <v>2025</v>
      </c>
      <c r="D279" s="6" t="s">
        <v>186</v>
      </c>
      <c r="E279" s="10">
        <v>3.25</v>
      </c>
      <c r="F279" s="10">
        <v>0.30743243243243246</v>
      </c>
      <c r="G279" s="9">
        <v>7.6705215954684922</v>
      </c>
      <c r="H279" s="11">
        <v>45876</v>
      </c>
      <c r="I279" s="11">
        <v>46035</v>
      </c>
      <c r="J279" s="9">
        <v>156.1</v>
      </c>
      <c r="K279" s="9">
        <v>223</v>
      </c>
      <c r="N279" s="10"/>
      <c r="O279" s="10"/>
    </row>
    <row r="280" spans="1:15" x14ac:dyDescent="0.2">
      <c r="A280" s="6" t="s">
        <v>11</v>
      </c>
      <c r="B280" s="6" t="s">
        <v>240</v>
      </c>
      <c r="C280" s="9">
        <v>2018</v>
      </c>
      <c r="D280" s="6" t="s">
        <v>241</v>
      </c>
      <c r="E280" s="10">
        <v>20.553752136752134</v>
      </c>
      <c r="F280" s="10">
        <v>0.59208339488586392</v>
      </c>
      <c r="G280" s="9">
        <v>23.705617023978341</v>
      </c>
      <c r="H280" s="11">
        <v>43356</v>
      </c>
      <c r="I280" s="11">
        <v>43669</v>
      </c>
      <c r="J280" s="9">
        <v>193.90702957584685</v>
      </c>
      <c r="K280" s="9" t="s">
        <v>390</v>
      </c>
      <c r="N280" s="10"/>
      <c r="O280" s="10"/>
    </row>
    <row r="281" spans="1:15" x14ac:dyDescent="0.2">
      <c r="A281" s="6" t="s">
        <v>15</v>
      </c>
      <c r="B281" s="6" t="s">
        <v>242</v>
      </c>
      <c r="C281" s="9">
        <v>2021</v>
      </c>
      <c r="D281" s="6" t="s">
        <v>241</v>
      </c>
      <c r="E281" s="10">
        <v>25.22</v>
      </c>
      <c r="F281" s="10">
        <v>0.96469945355191256</v>
      </c>
      <c r="G281" s="9">
        <v>23.042485153037916</v>
      </c>
      <c r="H281" s="11">
        <v>44272</v>
      </c>
      <c r="I281" s="11">
        <v>44510</v>
      </c>
      <c r="J281" s="9">
        <v>293.544061302682</v>
      </c>
      <c r="K281" s="9">
        <v>134.9627868058308</v>
      </c>
      <c r="N281" s="10"/>
      <c r="O281" s="10"/>
    </row>
    <row r="282" spans="1:15" x14ac:dyDescent="0.2">
      <c r="A282" s="6" t="s">
        <v>11</v>
      </c>
      <c r="B282" s="6" t="s">
        <v>243</v>
      </c>
      <c r="C282" s="9">
        <v>2018</v>
      </c>
      <c r="D282" s="6" t="s">
        <v>241</v>
      </c>
      <c r="E282" s="10">
        <v>14.907205128205124</v>
      </c>
      <c r="F282" s="10">
        <v>0.43844720965309186</v>
      </c>
      <c r="G282" s="9">
        <v>22.519271438351289</v>
      </c>
      <c r="H282" s="11">
        <v>43356</v>
      </c>
      <c r="I282" s="11">
        <v>43664</v>
      </c>
      <c r="J282" s="9">
        <v>150.44896877663871</v>
      </c>
      <c r="K282" s="9" t="s">
        <v>390</v>
      </c>
      <c r="N282" s="10"/>
      <c r="O282" s="10"/>
    </row>
    <row r="283" spans="1:15" x14ac:dyDescent="0.2">
      <c r="A283" s="6" t="s">
        <v>15</v>
      </c>
      <c r="B283" s="6" t="s">
        <v>242</v>
      </c>
      <c r="C283" s="9">
        <v>2022</v>
      </c>
      <c r="D283" s="6" t="s">
        <v>241</v>
      </c>
      <c r="E283" s="10">
        <v>14.52</v>
      </c>
      <c r="F283" s="10">
        <v>1.0698947368421052</v>
      </c>
      <c r="G283" s="9">
        <v>22.03338391502276</v>
      </c>
      <c r="H283" s="11">
        <v>44566</v>
      </c>
      <c r="I283" s="11">
        <v>44754</v>
      </c>
      <c r="J283" s="9">
        <v>199.69696969696969</v>
      </c>
      <c r="K283" s="9">
        <v>95.09379509379508</v>
      </c>
      <c r="N283" s="10"/>
      <c r="O283" s="10"/>
    </row>
    <row r="284" spans="1:15" x14ac:dyDescent="0.2">
      <c r="A284" s="6" t="s">
        <v>15</v>
      </c>
      <c r="B284" s="6" t="s">
        <v>242</v>
      </c>
      <c r="C284" s="9">
        <v>2023</v>
      </c>
      <c r="D284" s="6" t="s">
        <v>241</v>
      </c>
      <c r="E284" s="10">
        <v>28.05</v>
      </c>
      <c r="F284" s="10">
        <v>0.86118421052631589</v>
      </c>
      <c r="G284" s="9">
        <v>21.449873824271624</v>
      </c>
      <c r="H284" s="11">
        <v>44909</v>
      </c>
      <c r="I284" s="11">
        <v>45226</v>
      </c>
      <c r="J284" s="9">
        <v>233.51785714285714</v>
      </c>
      <c r="K284" s="9">
        <v>103.78571428571428</v>
      </c>
      <c r="N284" s="10"/>
      <c r="O284" s="10"/>
    </row>
    <row r="285" spans="1:15" x14ac:dyDescent="0.2">
      <c r="A285" s="6" t="s">
        <v>18</v>
      </c>
      <c r="B285" s="6" t="s">
        <v>244</v>
      </c>
      <c r="C285" s="9">
        <v>2025</v>
      </c>
      <c r="D285" s="6" t="s">
        <v>245</v>
      </c>
      <c r="E285" s="10">
        <v>30.68</v>
      </c>
      <c r="F285" s="10">
        <v>0.81041509433962267</v>
      </c>
      <c r="G285" s="9">
        <v>20.810849860028721</v>
      </c>
      <c r="H285" s="11">
        <v>45642</v>
      </c>
      <c r="I285" s="11">
        <v>45972</v>
      </c>
      <c r="J285" s="9">
        <v>284.28696969696972</v>
      </c>
      <c r="K285" s="9">
        <v>113.71478787878789</v>
      </c>
      <c r="N285" s="10"/>
      <c r="O285" s="10"/>
    </row>
    <row r="286" spans="1:15" x14ac:dyDescent="0.2">
      <c r="A286" s="6" t="s">
        <v>11</v>
      </c>
      <c r="B286" s="6" t="s">
        <v>246</v>
      </c>
      <c r="C286" s="9">
        <v>2022</v>
      </c>
      <c r="D286" s="6" t="s">
        <v>241</v>
      </c>
      <c r="E286" s="10">
        <v>12.232192254495159</v>
      </c>
      <c r="F286" s="10">
        <v>0.72563852357174663</v>
      </c>
      <c r="G286" s="9">
        <v>20.530702004859279</v>
      </c>
      <c r="H286" s="11">
        <v>44594</v>
      </c>
      <c r="I286" s="11">
        <v>44770</v>
      </c>
      <c r="J286" s="9">
        <v>216.09326424870466</v>
      </c>
      <c r="K286" s="9">
        <v>106.1883362401497</v>
      </c>
      <c r="N286" s="10"/>
      <c r="O286" s="10"/>
    </row>
    <row r="287" spans="1:15" x14ac:dyDescent="0.2">
      <c r="A287" s="6" t="s">
        <v>11</v>
      </c>
      <c r="B287" s="6" t="s">
        <v>247</v>
      </c>
      <c r="C287" s="9">
        <v>2022</v>
      </c>
      <c r="D287" s="6" t="s">
        <v>241</v>
      </c>
      <c r="E287" s="10">
        <v>9.7043038408779143</v>
      </c>
      <c r="F287" s="10">
        <v>0.71505396722258319</v>
      </c>
      <c r="G287" s="9">
        <v>20.525177328421986</v>
      </c>
      <c r="H287" s="11">
        <v>44594</v>
      </c>
      <c r="I287" s="11">
        <v>44747</v>
      </c>
      <c r="J287" s="9">
        <v>204.2962962962963</v>
      </c>
      <c r="K287" s="9">
        <v>100.39130039130039</v>
      </c>
      <c r="N287" s="10"/>
      <c r="O287" s="10"/>
    </row>
    <row r="288" spans="1:15" x14ac:dyDescent="0.2">
      <c r="A288" s="6" t="s">
        <v>15</v>
      </c>
      <c r="B288" s="6" t="s">
        <v>248</v>
      </c>
      <c r="C288" s="9">
        <v>2024</v>
      </c>
      <c r="D288" s="6" t="s">
        <v>245</v>
      </c>
      <c r="E288" s="10">
        <v>26.4</v>
      </c>
      <c r="F288" s="10">
        <v>0.82499999999999996</v>
      </c>
      <c r="G288" s="9">
        <v>19.408910454344948</v>
      </c>
      <c r="H288" s="11">
        <v>45302</v>
      </c>
      <c r="I288" s="11">
        <v>45568</v>
      </c>
      <c r="J288" s="9">
        <v>340.05</v>
      </c>
      <c r="K288" s="9">
        <v>151.13333333333333</v>
      </c>
      <c r="N288" s="10"/>
      <c r="O288" s="10"/>
    </row>
    <row r="289" spans="1:15" x14ac:dyDescent="0.2">
      <c r="A289" s="6" t="s">
        <v>15</v>
      </c>
      <c r="B289" s="6" t="s">
        <v>244</v>
      </c>
      <c r="C289" s="9">
        <v>2025</v>
      </c>
      <c r="D289" s="6" t="s">
        <v>245</v>
      </c>
      <c r="E289" s="10">
        <v>27.52</v>
      </c>
      <c r="F289" s="10">
        <v>0.84863436123348013</v>
      </c>
      <c r="G289" s="9">
        <v>19.36936936936937</v>
      </c>
      <c r="H289" s="11">
        <v>45642</v>
      </c>
      <c r="I289" s="11">
        <v>45946</v>
      </c>
      <c r="J289" s="9">
        <v>295.12166172106822</v>
      </c>
      <c r="K289" s="9">
        <v>125.58368583875243</v>
      </c>
      <c r="N289" s="10"/>
      <c r="O289" s="10"/>
    </row>
    <row r="290" spans="1:15" x14ac:dyDescent="0.2">
      <c r="A290" s="6" t="s">
        <v>15</v>
      </c>
      <c r="B290" s="6" t="s">
        <v>249</v>
      </c>
      <c r="C290" s="9">
        <v>2025</v>
      </c>
      <c r="D290" s="6" t="s">
        <v>241</v>
      </c>
      <c r="E290" s="10">
        <v>24.41</v>
      </c>
      <c r="F290" s="10">
        <v>0.83759803921568632</v>
      </c>
      <c r="G290" s="9">
        <v>19.249270562258499</v>
      </c>
      <c r="H290" s="11">
        <v>45642</v>
      </c>
      <c r="I290" s="11">
        <v>45945</v>
      </c>
      <c r="J290" s="9">
        <v>263.4035608308605</v>
      </c>
      <c r="K290" s="9">
        <v>112.0866216301534</v>
      </c>
      <c r="N290" s="10"/>
      <c r="O290" s="10"/>
    </row>
    <row r="291" spans="1:15" x14ac:dyDescent="0.2">
      <c r="A291" s="6" t="s">
        <v>11</v>
      </c>
      <c r="B291" s="6" t="s">
        <v>250</v>
      </c>
      <c r="C291" s="9">
        <v>2025</v>
      </c>
      <c r="D291" s="6" t="s">
        <v>241</v>
      </c>
      <c r="E291" s="10">
        <v>30.18</v>
      </c>
      <c r="F291" s="10">
        <v>0.82847058823529407</v>
      </c>
      <c r="G291" s="9">
        <v>19.077117572692792</v>
      </c>
      <c r="H291" s="11">
        <v>45637</v>
      </c>
      <c r="I291" s="11">
        <v>45967</v>
      </c>
      <c r="J291" s="9">
        <v>305.06887052341602</v>
      </c>
      <c r="K291" s="9">
        <v>135.28553016559471</v>
      </c>
      <c r="N291" s="10"/>
      <c r="O291" s="10"/>
    </row>
    <row r="292" spans="1:15" x14ac:dyDescent="0.2">
      <c r="A292" s="6" t="s">
        <v>11</v>
      </c>
      <c r="B292" s="6" t="s">
        <v>251</v>
      </c>
      <c r="C292" s="9">
        <v>2017</v>
      </c>
      <c r="D292" s="6" t="s">
        <v>245</v>
      </c>
      <c r="E292" s="10">
        <v>17.697039999999998</v>
      </c>
      <c r="F292" s="10">
        <v>0.50562971428571424</v>
      </c>
      <c r="G292" s="9">
        <v>19.00873498970201</v>
      </c>
      <c r="H292" s="11">
        <v>42974</v>
      </c>
      <c r="I292" s="11">
        <v>43279</v>
      </c>
      <c r="J292" s="9">
        <v>213.67101703008115</v>
      </c>
      <c r="K292" s="9" t="s">
        <v>390</v>
      </c>
      <c r="N292" s="10"/>
      <c r="O292" s="10"/>
    </row>
    <row r="293" spans="1:15" x14ac:dyDescent="0.2">
      <c r="A293" s="6" t="s">
        <v>18</v>
      </c>
      <c r="B293" s="6" t="s">
        <v>249</v>
      </c>
      <c r="C293" s="9">
        <v>2024</v>
      </c>
      <c r="D293" s="6" t="s">
        <v>241</v>
      </c>
      <c r="E293" s="10">
        <v>25.3</v>
      </c>
      <c r="F293" s="10">
        <v>0.76666666666666672</v>
      </c>
      <c r="G293" s="9">
        <v>19.005223055964748</v>
      </c>
      <c r="H293" s="11">
        <v>45274</v>
      </c>
      <c r="I293" s="11">
        <v>45589</v>
      </c>
      <c r="J293" s="9">
        <v>251.85110810810812</v>
      </c>
      <c r="K293" s="9">
        <v>100.74044324324325</v>
      </c>
      <c r="N293" s="10"/>
      <c r="O293" s="10"/>
    </row>
    <row r="294" spans="1:15" x14ac:dyDescent="0.2">
      <c r="A294" s="6" t="s">
        <v>11</v>
      </c>
      <c r="B294" s="6" t="s">
        <v>252</v>
      </c>
      <c r="C294" s="9">
        <v>2017</v>
      </c>
      <c r="D294" s="6" t="s">
        <v>241</v>
      </c>
      <c r="E294" s="10">
        <v>17.634919999999997</v>
      </c>
      <c r="F294" s="10">
        <v>0.50800181069958839</v>
      </c>
      <c r="G294" s="9">
        <v>18.942010689052847</v>
      </c>
      <c r="H294" s="11">
        <v>42974</v>
      </c>
      <c r="I294" s="11">
        <v>43277</v>
      </c>
      <c r="J294" s="9">
        <v>215.08138677945462</v>
      </c>
      <c r="K294" s="9" t="s">
        <v>390</v>
      </c>
      <c r="N294" s="10"/>
      <c r="O294" s="10"/>
    </row>
    <row r="295" spans="1:15" x14ac:dyDescent="0.2">
      <c r="A295" s="6" t="s">
        <v>15</v>
      </c>
      <c r="B295" s="6" t="s">
        <v>253</v>
      </c>
      <c r="C295" s="9">
        <v>2022</v>
      </c>
      <c r="D295" s="6" t="s">
        <v>245</v>
      </c>
      <c r="E295" s="10">
        <v>12.32</v>
      </c>
      <c r="F295" s="10">
        <v>0.69548387096774189</v>
      </c>
      <c r="G295" s="9">
        <v>18.694992412746586</v>
      </c>
      <c r="H295" s="11">
        <v>44547</v>
      </c>
      <c r="I295" s="11">
        <v>44752</v>
      </c>
      <c r="J295" s="9">
        <v>202.3245614035088</v>
      </c>
      <c r="K295" s="9">
        <v>96.345029239766092</v>
      </c>
      <c r="N295" s="10"/>
      <c r="O295" s="10"/>
    </row>
    <row r="296" spans="1:15" x14ac:dyDescent="0.2">
      <c r="A296" s="6" t="s">
        <v>11</v>
      </c>
      <c r="B296" s="6" t="s">
        <v>254</v>
      </c>
      <c r="C296" s="9">
        <v>2019</v>
      </c>
      <c r="D296" s="6" t="s">
        <v>245</v>
      </c>
      <c r="E296" s="10">
        <v>11.416615384615383</v>
      </c>
      <c r="F296" s="10">
        <v>0.38983564727954967</v>
      </c>
      <c r="G296" s="9">
        <v>18.395193624765199</v>
      </c>
      <c r="H296" s="11">
        <v>43720</v>
      </c>
      <c r="I296" s="11">
        <v>43979</v>
      </c>
      <c r="J296" s="9">
        <v>167.7379313592906</v>
      </c>
      <c r="K296" s="9" t="s">
        <v>390</v>
      </c>
      <c r="N296" s="10"/>
      <c r="O296" s="10"/>
    </row>
    <row r="297" spans="1:15" x14ac:dyDescent="0.2">
      <c r="A297" s="6" t="s">
        <v>11</v>
      </c>
      <c r="B297" s="6" t="s">
        <v>255</v>
      </c>
      <c r="C297" s="9">
        <v>2022</v>
      </c>
      <c r="D297" s="6" t="s">
        <v>245</v>
      </c>
      <c r="E297" s="10">
        <v>6.3461272475795294</v>
      </c>
      <c r="F297" s="10">
        <v>0.65327780489789278</v>
      </c>
      <c r="G297" s="9">
        <v>18.394571732114578</v>
      </c>
      <c r="H297" s="11">
        <v>44755</v>
      </c>
      <c r="I297" s="11">
        <v>44894</v>
      </c>
      <c r="J297" s="9">
        <v>164.28571428571428</v>
      </c>
      <c r="K297" s="9">
        <v>107.37628384687207</v>
      </c>
      <c r="N297" s="10"/>
      <c r="O297" s="10"/>
    </row>
    <row r="298" spans="1:15" x14ac:dyDescent="0.2">
      <c r="A298" s="6" t="s">
        <v>11</v>
      </c>
      <c r="B298" s="6" t="s">
        <v>256</v>
      </c>
      <c r="C298" s="9">
        <v>2023</v>
      </c>
      <c r="D298" s="6" t="s">
        <v>245</v>
      </c>
      <c r="E298" s="10">
        <v>19.557666364643108</v>
      </c>
      <c r="F298" s="10">
        <v>0.67440228843596928</v>
      </c>
      <c r="G298" s="9">
        <v>18.386449529607134</v>
      </c>
      <c r="H298" s="11">
        <v>44977</v>
      </c>
      <c r="I298" s="11">
        <v>45260</v>
      </c>
      <c r="J298" s="9">
        <v>215.82318840579711</v>
      </c>
      <c r="K298" s="9">
        <v>93.836168872085707</v>
      </c>
      <c r="N298" s="10"/>
      <c r="O298" s="10"/>
    </row>
    <row r="299" spans="1:15" x14ac:dyDescent="0.2">
      <c r="A299" s="6" t="s">
        <v>15</v>
      </c>
      <c r="B299" s="6" t="s">
        <v>257</v>
      </c>
      <c r="C299" s="9">
        <v>2021</v>
      </c>
      <c r="D299" s="6" t="s">
        <v>241</v>
      </c>
      <c r="E299" s="10">
        <v>19.86</v>
      </c>
      <c r="F299" s="10">
        <v>0.73168421052631583</v>
      </c>
      <c r="G299" s="9">
        <v>18.145271813613522</v>
      </c>
      <c r="H299" s="11">
        <v>44272</v>
      </c>
      <c r="I299" s="11">
        <v>44511</v>
      </c>
      <c r="J299" s="9">
        <v>293.544061302682</v>
      </c>
      <c r="K299" s="9">
        <v>134.9627868058308</v>
      </c>
      <c r="N299" s="10"/>
      <c r="O299" s="10"/>
    </row>
    <row r="300" spans="1:15" x14ac:dyDescent="0.2">
      <c r="A300" s="6" t="s">
        <v>11</v>
      </c>
      <c r="B300" s="6" t="s">
        <v>258</v>
      </c>
      <c r="C300" s="9">
        <v>2024</v>
      </c>
      <c r="D300" s="6" t="s">
        <v>245</v>
      </c>
      <c r="E300" s="10">
        <v>20.69</v>
      </c>
      <c r="F300" s="10">
        <v>0.76629629629629636</v>
      </c>
      <c r="G300" s="9">
        <v>17.877819061608918</v>
      </c>
      <c r="H300" s="11">
        <v>45307</v>
      </c>
      <c r="I300" s="11">
        <v>45590</v>
      </c>
      <c r="J300" s="9">
        <v>260.48553054662381</v>
      </c>
      <c r="K300" s="9">
        <v>111.31860279770248</v>
      </c>
      <c r="N300" s="10"/>
      <c r="O300" s="10"/>
    </row>
    <row r="301" spans="1:15" x14ac:dyDescent="0.2">
      <c r="A301" s="6" t="s">
        <v>11</v>
      </c>
      <c r="B301" s="6" t="s">
        <v>259</v>
      </c>
      <c r="C301" s="9">
        <v>2022</v>
      </c>
      <c r="D301" s="6" t="s">
        <v>245</v>
      </c>
      <c r="E301" s="10">
        <v>10.477697095435685</v>
      </c>
      <c r="F301" s="10">
        <v>0.69851313969571238</v>
      </c>
      <c r="G301" s="9">
        <v>17.843489603943606</v>
      </c>
      <c r="H301" s="11">
        <v>44597</v>
      </c>
      <c r="I301" s="11">
        <v>44770</v>
      </c>
      <c r="J301" s="9">
        <v>212.97409326424869</v>
      </c>
      <c r="K301" s="9">
        <v>104.65557408562589</v>
      </c>
      <c r="N301" s="10"/>
      <c r="O301" s="10"/>
    </row>
    <row r="302" spans="1:15" x14ac:dyDescent="0.2">
      <c r="A302" s="6" t="s">
        <v>11</v>
      </c>
      <c r="B302" s="6" t="s">
        <v>260</v>
      </c>
      <c r="C302" s="9">
        <v>2018</v>
      </c>
      <c r="D302" s="6" t="s">
        <v>241</v>
      </c>
      <c r="E302" s="10">
        <v>17.260401709401709</v>
      </c>
      <c r="F302" s="10">
        <v>0.41807201372253278</v>
      </c>
      <c r="G302" s="9">
        <v>17.628721748240178</v>
      </c>
      <c r="H302" s="11">
        <v>43341</v>
      </c>
      <c r="I302" s="11">
        <v>43686</v>
      </c>
      <c r="J302" s="9">
        <v>198.65935498767919</v>
      </c>
      <c r="K302" s="9" t="s">
        <v>390</v>
      </c>
      <c r="N302" s="10"/>
      <c r="O302" s="10"/>
    </row>
    <row r="303" spans="1:15" x14ac:dyDescent="0.2">
      <c r="A303" s="6" t="s">
        <v>11</v>
      </c>
      <c r="B303" s="6" t="s">
        <v>261</v>
      </c>
      <c r="C303" s="9">
        <v>2025</v>
      </c>
      <c r="D303" s="6" t="s">
        <v>245</v>
      </c>
      <c r="E303" s="10">
        <v>20.27</v>
      </c>
      <c r="F303" s="10">
        <v>0.659953488372093</v>
      </c>
      <c r="G303" s="9">
        <v>17.561947669381389</v>
      </c>
      <c r="H303" s="11">
        <v>45637</v>
      </c>
      <c r="I303" s="11">
        <v>45959</v>
      </c>
      <c r="J303" s="9">
        <v>223.18784530386739</v>
      </c>
      <c r="K303" s="9">
        <v>98.974654236748293</v>
      </c>
      <c r="N303" s="10"/>
      <c r="O303" s="10"/>
    </row>
    <row r="304" spans="1:15" x14ac:dyDescent="0.2">
      <c r="A304" s="6" t="s">
        <v>18</v>
      </c>
      <c r="B304" s="6" t="s">
        <v>262</v>
      </c>
      <c r="C304" s="9">
        <v>2025</v>
      </c>
      <c r="D304" s="6" t="s">
        <v>241</v>
      </c>
      <c r="E304" s="10">
        <v>25.81</v>
      </c>
      <c r="F304" s="10">
        <v>0.68177358490566042</v>
      </c>
      <c r="G304" s="9">
        <v>17.545887151597551</v>
      </c>
      <c r="H304" s="11">
        <v>45642</v>
      </c>
      <c r="I304" s="11">
        <v>45972</v>
      </c>
      <c r="J304" s="9">
        <v>283.66391184573007</v>
      </c>
      <c r="K304" s="9">
        <v>113.46556473829203</v>
      </c>
      <c r="N304" s="10"/>
      <c r="O304" s="10"/>
    </row>
    <row r="305" spans="1:15" x14ac:dyDescent="0.2">
      <c r="A305" s="6" t="s">
        <v>11</v>
      </c>
      <c r="B305" s="6" t="s">
        <v>263</v>
      </c>
      <c r="C305" s="9">
        <v>2022</v>
      </c>
      <c r="D305" s="6" t="s">
        <v>245</v>
      </c>
      <c r="E305" s="10">
        <v>7.7192215363511663</v>
      </c>
      <c r="F305" s="10">
        <v>0.66709321919084152</v>
      </c>
      <c r="G305" s="9">
        <v>17.42487931456245</v>
      </c>
      <c r="H305" s="11">
        <v>44597</v>
      </c>
      <c r="I305" s="11">
        <v>44746</v>
      </c>
      <c r="J305" s="9">
        <v>191.41975308641975</v>
      </c>
      <c r="K305" s="9">
        <v>94.06376073042739</v>
      </c>
      <c r="N305" s="10"/>
      <c r="O305" s="10"/>
    </row>
    <row r="306" spans="1:15" x14ac:dyDescent="0.2">
      <c r="A306" s="6" t="s">
        <v>14</v>
      </c>
      <c r="B306" s="6" t="s">
        <v>264</v>
      </c>
      <c r="C306" s="9">
        <v>2021</v>
      </c>
      <c r="D306" s="6" t="s">
        <v>241</v>
      </c>
      <c r="E306" s="10">
        <v>5.21</v>
      </c>
      <c r="F306" s="10">
        <v>0.37214285714285716</v>
      </c>
      <c r="G306" s="9">
        <v>17.09977029656315</v>
      </c>
      <c r="H306" s="11">
        <v>44306</v>
      </c>
      <c r="I306" s="11">
        <v>44480</v>
      </c>
      <c r="J306" s="9">
        <v>108.26280139593909</v>
      </c>
      <c r="K306" s="9">
        <v>52.42750672926833</v>
      </c>
      <c r="N306" s="10"/>
      <c r="O306" s="10"/>
    </row>
    <row r="307" spans="1:15" x14ac:dyDescent="0.2">
      <c r="A307" s="6" t="s">
        <v>18</v>
      </c>
      <c r="B307" s="6" t="s">
        <v>262</v>
      </c>
      <c r="C307" s="9">
        <v>2024</v>
      </c>
      <c r="D307" s="6" t="s">
        <v>241</v>
      </c>
      <c r="E307" s="10">
        <v>30.5</v>
      </c>
      <c r="F307" s="10">
        <v>0.82751937984496127</v>
      </c>
      <c r="G307" s="9">
        <v>16.855885494930249</v>
      </c>
      <c r="H307" s="11">
        <v>45274</v>
      </c>
      <c r="I307" s="11">
        <v>45607</v>
      </c>
      <c r="J307" s="9">
        <v>342.32970270270272</v>
      </c>
      <c r="K307" s="9">
        <v>136.93188108108109</v>
      </c>
      <c r="N307" s="10"/>
      <c r="O307" s="10"/>
    </row>
    <row r="308" spans="1:15" x14ac:dyDescent="0.2">
      <c r="A308" s="6" t="s">
        <v>15</v>
      </c>
      <c r="B308" s="6" t="s">
        <v>265</v>
      </c>
      <c r="C308" s="9">
        <v>2024</v>
      </c>
      <c r="D308" s="6" t="s">
        <v>241</v>
      </c>
      <c r="E308" s="10">
        <v>25.67</v>
      </c>
      <c r="F308" s="10">
        <v>0.90752525252525262</v>
      </c>
      <c r="G308" s="9">
        <v>16.793144053382182</v>
      </c>
      <c r="H308" s="11">
        <v>45302</v>
      </c>
      <c r="I308" s="11">
        <v>45567</v>
      </c>
      <c r="J308" s="9">
        <v>382.15</v>
      </c>
      <c r="K308" s="9">
        <v>169.84444444444443</v>
      </c>
      <c r="N308" s="10"/>
      <c r="O308" s="10"/>
    </row>
    <row r="309" spans="1:15" x14ac:dyDescent="0.2">
      <c r="A309" s="6" t="s">
        <v>11</v>
      </c>
      <c r="B309" s="6" t="s">
        <v>266</v>
      </c>
      <c r="C309" s="9">
        <v>2016</v>
      </c>
      <c r="D309" s="6" t="s">
        <v>241</v>
      </c>
      <c r="E309" s="10">
        <v>15.723819999999998</v>
      </c>
      <c r="F309" s="10">
        <v>0.5095682407407407</v>
      </c>
      <c r="G309" s="9">
        <v>16.762093355412958</v>
      </c>
      <c r="H309" s="11">
        <v>42632</v>
      </c>
      <c r="I309" s="11">
        <v>42908</v>
      </c>
      <c r="J309" s="9">
        <v>237.91332489095254</v>
      </c>
      <c r="K309" s="9" t="s">
        <v>390</v>
      </c>
      <c r="N309" s="10"/>
      <c r="O309" s="10"/>
    </row>
    <row r="310" spans="1:15" x14ac:dyDescent="0.2">
      <c r="A310" s="6" t="s">
        <v>18</v>
      </c>
      <c r="B310" s="6" t="s">
        <v>249</v>
      </c>
      <c r="C310" s="9">
        <v>2023</v>
      </c>
      <c r="D310" s="6" t="s">
        <v>241</v>
      </c>
      <c r="E310" s="10">
        <v>19.2</v>
      </c>
      <c r="F310" s="10">
        <v>0.94647887323943658</v>
      </c>
      <c r="G310" s="9">
        <v>16.756997355536356</v>
      </c>
      <c r="H310" s="11">
        <v>45033</v>
      </c>
      <c r="I310" s="11">
        <v>45233</v>
      </c>
      <c r="J310" s="9">
        <v>281.4221052631579</v>
      </c>
      <c r="K310" s="9">
        <v>112.56884210526316</v>
      </c>
      <c r="N310" s="10"/>
      <c r="O310" s="10"/>
    </row>
    <row r="311" spans="1:15" x14ac:dyDescent="0.2">
      <c r="A311" s="6" t="s">
        <v>11</v>
      </c>
      <c r="B311" s="6" t="s">
        <v>267</v>
      </c>
      <c r="C311" s="9">
        <v>2021</v>
      </c>
      <c r="D311" s="6" t="s">
        <v>245</v>
      </c>
      <c r="E311" s="10">
        <v>13.02</v>
      </c>
      <c r="F311" s="10">
        <v>0.58799999999999997</v>
      </c>
      <c r="G311" s="9">
        <v>16.679477325134513</v>
      </c>
      <c r="H311" s="11">
        <v>44355</v>
      </c>
      <c r="I311" s="11">
        <v>44572</v>
      </c>
      <c r="J311" s="9">
        <v>210.97297297297297</v>
      </c>
      <c r="K311" s="9">
        <v>140.64864864864865</v>
      </c>
      <c r="N311" s="10"/>
      <c r="O311" s="10"/>
    </row>
    <row r="312" spans="1:15" x14ac:dyDescent="0.2">
      <c r="A312" s="6" t="s">
        <v>11</v>
      </c>
      <c r="B312" s="6" t="s">
        <v>268</v>
      </c>
      <c r="C312" s="9">
        <v>2019</v>
      </c>
      <c r="D312" s="6" t="s">
        <v>245</v>
      </c>
      <c r="E312" s="10">
        <v>11.444205128205127</v>
      </c>
      <c r="F312" s="10">
        <v>0.34234801665570891</v>
      </c>
      <c r="G312" s="9">
        <v>16.593235299528313</v>
      </c>
      <c r="H312" s="11">
        <v>43720</v>
      </c>
      <c r="I312" s="11">
        <v>44008</v>
      </c>
      <c r="J312" s="9">
        <v>167.63323035663245</v>
      </c>
      <c r="K312" s="9" t="s">
        <v>390</v>
      </c>
      <c r="N312" s="10"/>
      <c r="O312" s="10"/>
    </row>
    <row r="313" spans="1:15" x14ac:dyDescent="0.2">
      <c r="A313" s="6" t="s">
        <v>15</v>
      </c>
      <c r="B313" s="6" t="s">
        <v>269</v>
      </c>
      <c r="C313" s="9">
        <v>2021</v>
      </c>
      <c r="D313" s="6" t="s">
        <v>241</v>
      </c>
      <c r="E313" s="10">
        <v>12.38</v>
      </c>
      <c r="F313" s="10">
        <v>0.45135416666666672</v>
      </c>
      <c r="G313" s="9">
        <v>16.561872909698998</v>
      </c>
      <c r="H313" s="11">
        <v>44432</v>
      </c>
      <c r="I313" s="11">
        <v>44680</v>
      </c>
      <c r="J313" s="9">
        <v>186.20996441281136</v>
      </c>
      <c r="K313" s="9">
        <v>117.11318516529016</v>
      </c>
      <c r="N313" s="10"/>
      <c r="O313" s="10"/>
    </row>
    <row r="314" spans="1:15" x14ac:dyDescent="0.2">
      <c r="A314" s="6" t="s">
        <v>11</v>
      </c>
      <c r="B314" s="6" t="s">
        <v>270</v>
      </c>
      <c r="C314" s="9">
        <v>2019</v>
      </c>
      <c r="D314" s="6" t="s">
        <v>241</v>
      </c>
      <c r="E314" s="10">
        <v>10.065066666666665</v>
      </c>
      <c r="F314" s="10">
        <v>0.36131008547008542</v>
      </c>
      <c r="G314" s="9">
        <v>16.217490380643216</v>
      </c>
      <c r="H314" s="11">
        <v>43720</v>
      </c>
      <c r="I314" s="11">
        <v>43979</v>
      </c>
      <c r="J314" s="9">
        <v>167.7379313592906</v>
      </c>
      <c r="K314" s="9" t="s">
        <v>390</v>
      </c>
      <c r="N314" s="10"/>
      <c r="O314" s="10"/>
    </row>
    <row r="315" spans="1:15" x14ac:dyDescent="0.2">
      <c r="A315" s="6" t="s">
        <v>11</v>
      </c>
      <c r="B315" s="6" t="s">
        <v>271</v>
      </c>
      <c r="C315" s="9">
        <v>2019</v>
      </c>
      <c r="D315" s="6" t="s">
        <v>245</v>
      </c>
      <c r="E315" s="10">
        <v>11.162700854700853</v>
      </c>
      <c r="F315" s="10">
        <v>0.33680562923666363</v>
      </c>
      <c r="G315" s="9">
        <v>16.185075309756112</v>
      </c>
      <c r="H315" s="11">
        <v>43720</v>
      </c>
      <c r="I315" s="11">
        <v>44008</v>
      </c>
      <c r="J315" s="9">
        <v>167.63323035663245</v>
      </c>
      <c r="K315" s="9" t="s">
        <v>390</v>
      </c>
      <c r="N315" s="10"/>
      <c r="O315" s="10"/>
    </row>
    <row r="316" spans="1:15" x14ac:dyDescent="0.2">
      <c r="A316" s="6" t="s">
        <v>11</v>
      </c>
      <c r="B316" s="6" t="s">
        <v>272</v>
      </c>
      <c r="C316" s="9">
        <v>2018</v>
      </c>
      <c r="D316" s="6" t="s">
        <v>245</v>
      </c>
      <c r="E316" s="10">
        <v>15.393897435897436</v>
      </c>
      <c r="F316" s="10">
        <v>0.35214798055974528</v>
      </c>
      <c r="G316" s="9">
        <v>15.907425319862229</v>
      </c>
      <c r="H316" s="11">
        <v>43326</v>
      </c>
      <c r="I316" s="11">
        <v>43691</v>
      </c>
      <c r="J316" s="9">
        <v>185.58970062167293</v>
      </c>
      <c r="K316" s="9" t="s">
        <v>390</v>
      </c>
      <c r="N316" s="10"/>
      <c r="O316" s="10"/>
    </row>
    <row r="317" spans="1:15" x14ac:dyDescent="0.2">
      <c r="A317" s="6" t="s">
        <v>11</v>
      </c>
      <c r="B317" s="6" t="s">
        <v>273</v>
      </c>
      <c r="C317" s="9">
        <v>2024</v>
      </c>
      <c r="D317" s="6" t="s">
        <v>241</v>
      </c>
      <c r="E317" s="10">
        <v>25.89</v>
      </c>
      <c r="F317" s="10">
        <v>0.79486842105263167</v>
      </c>
      <c r="G317" s="9">
        <v>15.862026712412694</v>
      </c>
      <c r="H317" s="11">
        <v>45308</v>
      </c>
      <c r="I317" s="11">
        <v>45600</v>
      </c>
      <c r="J317" s="9">
        <v>361.5632911392405</v>
      </c>
      <c r="K317" s="9">
        <v>154.51422698258142</v>
      </c>
      <c r="N317" s="10"/>
      <c r="O317" s="10"/>
    </row>
    <row r="318" spans="1:15" x14ac:dyDescent="0.2">
      <c r="A318" s="6" t="s">
        <v>13</v>
      </c>
      <c r="B318" s="6" t="s">
        <v>274</v>
      </c>
      <c r="C318" s="9">
        <v>2022</v>
      </c>
      <c r="D318" s="6" t="s">
        <v>241</v>
      </c>
      <c r="E318" s="10">
        <v>12.26</v>
      </c>
      <c r="F318" s="10">
        <v>0.72117647058823531</v>
      </c>
      <c r="G318" s="9">
        <v>15.850032320620556</v>
      </c>
      <c r="H318" s="11">
        <v>44714</v>
      </c>
      <c r="I318" s="11">
        <v>44886</v>
      </c>
      <c r="J318" s="9">
        <v>311.17816091954023</v>
      </c>
      <c r="K318" s="9">
        <v>155.58908045977012</v>
      </c>
      <c r="N318" s="10"/>
      <c r="O318" s="10"/>
    </row>
    <row r="319" spans="1:15" x14ac:dyDescent="0.2">
      <c r="A319" s="6" t="s">
        <v>11</v>
      </c>
      <c r="B319" s="6" t="s">
        <v>275</v>
      </c>
      <c r="C319" s="9">
        <v>2024</v>
      </c>
      <c r="D319" s="6" t="s">
        <v>245</v>
      </c>
      <c r="E319" s="10">
        <v>20.36</v>
      </c>
      <c r="F319" s="10">
        <v>0.73087179487179488</v>
      </c>
      <c r="G319" s="9">
        <v>15.703817971461627</v>
      </c>
      <c r="H319" s="11">
        <v>45307</v>
      </c>
      <c r="I319" s="11">
        <v>45589</v>
      </c>
      <c r="J319" s="9">
        <v>291.81672025723469</v>
      </c>
      <c r="K319" s="9">
        <v>124.70800010992936</v>
      </c>
      <c r="N319" s="10"/>
      <c r="O319" s="10"/>
    </row>
    <row r="320" spans="1:15" x14ac:dyDescent="0.2">
      <c r="A320" s="6" t="s">
        <v>11</v>
      </c>
      <c r="B320" s="6" t="s">
        <v>276</v>
      </c>
      <c r="C320" s="9">
        <v>2023</v>
      </c>
      <c r="D320" s="6" t="s">
        <v>241</v>
      </c>
      <c r="E320" s="10">
        <v>18.575474732006128</v>
      </c>
      <c r="F320" s="10">
        <v>0.6019829774261245</v>
      </c>
      <c r="G320" s="9">
        <v>15.67021657837534</v>
      </c>
      <c r="H320" s="11">
        <v>44977</v>
      </c>
      <c r="I320" s="11">
        <v>45265</v>
      </c>
      <c r="J320" s="9">
        <v>240.51594202898551</v>
      </c>
      <c r="K320" s="9">
        <v>104.57214870825457</v>
      </c>
      <c r="N320" s="10"/>
      <c r="O320" s="10"/>
    </row>
    <row r="321" spans="1:15" x14ac:dyDescent="0.2">
      <c r="A321" s="6" t="s">
        <v>11</v>
      </c>
      <c r="B321" s="6" t="s">
        <v>277</v>
      </c>
      <c r="C321" s="9">
        <v>2023</v>
      </c>
      <c r="D321" s="6" t="s">
        <v>241</v>
      </c>
      <c r="E321" s="10">
        <v>22.459025733093956</v>
      </c>
      <c r="F321" s="10">
        <v>0.68953149180551621</v>
      </c>
      <c r="G321" s="9">
        <v>15.606299585222677</v>
      </c>
      <c r="H321" s="11">
        <v>44977</v>
      </c>
      <c r="I321" s="11">
        <v>45265</v>
      </c>
      <c r="J321" s="9">
        <v>291.99130434782609</v>
      </c>
      <c r="K321" s="9">
        <v>126.95274102079397</v>
      </c>
      <c r="N321" s="10"/>
      <c r="O321" s="10"/>
    </row>
    <row r="322" spans="1:15" x14ac:dyDescent="0.2">
      <c r="A322" s="6" t="s">
        <v>11</v>
      </c>
      <c r="B322" s="6" t="s">
        <v>278</v>
      </c>
      <c r="C322" s="9">
        <v>2016</v>
      </c>
      <c r="D322" s="6" t="s">
        <v>245</v>
      </c>
      <c r="E322" s="10">
        <v>11.582030769230768</v>
      </c>
      <c r="F322" s="10">
        <v>0.38606769230769228</v>
      </c>
      <c r="G322" s="9">
        <v>15.504951712605274</v>
      </c>
      <c r="H322" s="11">
        <v>42587</v>
      </c>
      <c r="I322" s="11">
        <v>42864</v>
      </c>
      <c r="J322" s="9">
        <v>188.76982241838016</v>
      </c>
      <c r="K322" s="9" t="s">
        <v>390</v>
      </c>
      <c r="N322" s="10"/>
      <c r="O322" s="10"/>
    </row>
    <row r="323" spans="1:15" x14ac:dyDescent="0.2">
      <c r="A323" s="6" t="s">
        <v>11</v>
      </c>
      <c r="B323" s="6" t="s">
        <v>279</v>
      </c>
      <c r="C323" s="9">
        <v>2020</v>
      </c>
      <c r="D323" s="6" t="s">
        <v>241</v>
      </c>
      <c r="E323" s="10">
        <v>18.690000000000001</v>
      </c>
      <c r="F323" s="10">
        <v>0.46725000000000005</v>
      </c>
      <c r="G323" s="9">
        <v>15.446764361558294</v>
      </c>
      <c r="H323" s="11">
        <v>44042</v>
      </c>
      <c r="I323" s="11">
        <v>44385</v>
      </c>
      <c r="J323" s="9">
        <v>235.27041531823082</v>
      </c>
      <c r="K323" s="9">
        <v>104.56462903032481</v>
      </c>
      <c r="N323" s="10"/>
      <c r="O323" s="10"/>
    </row>
    <row r="324" spans="1:15" x14ac:dyDescent="0.2">
      <c r="A324" s="6" t="s">
        <v>11</v>
      </c>
      <c r="B324" s="6" t="s">
        <v>280</v>
      </c>
      <c r="C324" s="9">
        <v>2021</v>
      </c>
      <c r="D324" s="6" t="s">
        <v>241</v>
      </c>
      <c r="E324" s="10">
        <v>14.82</v>
      </c>
      <c r="F324" s="10">
        <v>0.48251162790697671</v>
      </c>
      <c r="G324" s="9">
        <v>15.330505844626048</v>
      </c>
      <c r="H324" s="11">
        <v>44438</v>
      </c>
      <c r="I324" s="11">
        <v>44720</v>
      </c>
      <c r="J324" s="9">
        <v>179.49336870026525</v>
      </c>
      <c r="K324" s="9">
        <v>71.797347480106097</v>
      </c>
      <c r="N324" s="10"/>
      <c r="O324" s="10"/>
    </row>
    <row r="325" spans="1:15" x14ac:dyDescent="0.2">
      <c r="A325" s="6" t="s">
        <v>18</v>
      </c>
      <c r="B325" s="6" t="s">
        <v>281</v>
      </c>
      <c r="C325" s="9">
        <v>2022</v>
      </c>
      <c r="D325" s="6" t="s">
        <v>245</v>
      </c>
      <c r="E325" s="10">
        <v>3.3</v>
      </c>
      <c r="F325" s="10">
        <v>0.25666666666666665</v>
      </c>
      <c r="G325" s="9">
        <v>15.139489753318072</v>
      </c>
      <c r="H325" s="11">
        <v>44799</v>
      </c>
      <c r="I325" s="11">
        <v>44970</v>
      </c>
      <c r="J325" s="9">
        <v>83.83576923076923</v>
      </c>
      <c r="K325" s="9">
        <v>55.890512820512818</v>
      </c>
      <c r="N325" s="10"/>
      <c r="O325" s="10"/>
    </row>
    <row r="326" spans="1:15" x14ac:dyDescent="0.2">
      <c r="A326" s="6" t="s">
        <v>15</v>
      </c>
      <c r="B326" s="6" t="s">
        <v>242</v>
      </c>
      <c r="C326" s="9">
        <v>2022</v>
      </c>
      <c r="D326" s="6" t="s">
        <v>241</v>
      </c>
      <c r="E326" s="10">
        <v>7.91</v>
      </c>
      <c r="F326" s="10">
        <v>0.45760330578512398</v>
      </c>
      <c r="G326" s="9">
        <v>15.121391703307207</v>
      </c>
      <c r="H326" s="11">
        <v>44706</v>
      </c>
      <c r="I326" s="11">
        <v>44876</v>
      </c>
      <c r="J326" s="9">
        <v>180.37931034482759</v>
      </c>
      <c r="K326" s="9">
        <v>85.894909688013129</v>
      </c>
      <c r="N326" s="10"/>
      <c r="O326" s="10"/>
    </row>
    <row r="327" spans="1:15" x14ac:dyDescent="0.2">
      <c r="A327" s="6" t="s">
        <v>11</v>
      </c>
      <c r="B327" s="6" t="s">
        <v>282</v>
      </c>
      <c r="C327" s="9">
        <v>2019</v>
      </c>
      <c r="D327" s="6" t="s">
        <v>241</v>
      </c>
      <c r="E327" s="10">
        <v>10.156358974358977</v>
      </c>
      <c r="F327" s="10">
        <v>0.32024555324555332</v>
      </c>
      <c r="G327" s="9">
        <v>15.110468052194243</v>
      </c>
      <c r="H327" s="11">
        <v>43700</v>
      </c>
      <c r="I327" s="11">
        <v>44004</v>
      </c>
      <c r="J327" s="9">
        <v>154.76921575628143</v>
      </c>
      <c r="K327" s="9" t="s">
        <v>390</v>
      </c>
      <c r="N327" s="10"/>
      <c r="O327" s="10"/>
    </row>
    <row r="328" spans="1:15" x14ac:dyDescent="0.2">
      <c r="A328" s="6" t="s">
        <v>11</v>
      </c>
      <c r="B328" s="6" t="s">
        <v>283</v>
      </c>
      <c r="C328" s="9">
        <v>2021</v>
      </c>
      <c r="D328" s="6" t="s">
        <v>241</v>
      </c>
      <c r="E328" s="10">
        <v>14.5</v>
      </c>
      <c r="F328" s="10">
        <v>0.47652582159624418</v>
      </c>
      <c r="G328" s="9">
        <v>14.999482776455984</v>
      </c>
      <c r="H328" s="11">
        <v>44438</v>
      </c>
      <c r="I328" s="11">
        <v>44725</v>
      </c>
      <c r="J328" s="9">
        <v>179.49336870026525</v>
      </c>
      <c r="K328" s="9">
        <v>95.729796640141473</v>
      </c>
      <c r="N328" s="10"/>
      <c r="O328" s="10"/>
    </row>
    <row r="329" spans="1:15" x14ac:dyDescent="0.2">
      <c r="A329" s="6" t="s">
        <v>11</v>
      </c>
      <c r="B329" s="6" t="s">
        <v>284</v>
      </c>
      <c r="C329" s="9">
        <v>2021</v>
      </c>
      <c r="D329" s="6" t="s">
        <v>245</v>
      </c>
      <c r="E329" s="10">
        <v>14.36</v>
      </c>
      <c r="F329" s="10">
        <v>0.5051256281407035</v>
      </c>
      <c r="G329" s="9">
        <v>14.854660184131582</v>
      </c>
      <c r="H329" s="11">
        <v>44438</v>
      </c>
      <c r="I329" s="11">
        <v>44718</v>
      </c>
      <c r="J329" s="9">
        <v>179.49336870026525</v>
      </c>
      <c r="K329" s="9">
        <v>79.774830533451222</v>
      </c>
      <c r="N329" s="10"/>
      <c r="O329" s="10"/>
    </row>
    <row r="330" spans="1:15" x14ac:dyDescent="0.2">
      <c r="A330" s="6" t="s">
        <v>11</v>
      </c>
      <c r="B330" s="6" t="s">
        <v>285</v>
      </c>
      <c r="C330" s="9">
        <v>2019</v>
      </c>
      <c r="D330" s="6" t="s">
        <v>245</v>
      </c>
      <c r="E330" s="10">
        <v>8.9359487179487189</v>
      </c>
      <c r="F330" s="10">
        <v>0.30813616268788685</v>
      </c>
      <c r="G330" s="9">
        <v>14.853464629208002</v>
      </c>
      <c r="H330" s="11">
        <v>43712</v>
      </c>
      <c r="I330" s="11">
        <v>43980</v>
      </c>
      <c r="J330" s="9">
        <v>157.13616415061858</v>
      </c>
      <c r="K330" s="9" t="s">
        <v>390</v>
      </c>
      <c r="N330" s="10"/>
      <c r="O330" s="10"/>
    </row>
    <row r="331" spans="1:15" x14ac:dyDescent="0.2">
      <c r="A331" s="6" t="s">
        <v>11</v>
      </c>
      <c r="B331" s="6" t="s">
        <v>286</v>
      </c>
      <c r="C331" s="9">
        <v>2016</v>
      </c>
      <c r="D331" s="6" t="s">
        <v>245</v>
      </c>
      <c r="E331" s="10">
        <v>12.765384615384617</v>
      </c>
      <c r="F331" s="10">
        <v>0.3936462216197899</v>
      </c>
      <c r="G331" s="9">
        <v>14.779147666180842</v>
      </c>
      <c r="H331" s="11">
        <v>42600</v>
      </c>
      <c r="I331" s="11">
        <v>42898</v>
      </c>
      <c r="J331" s="9">
        <v>202.89263944789454</v>
      </c>
      <c r="K331" s="9" t="s">
        <v>390</v>
      </c>
      <c r="N331" s="10"/>
      <c r="O331" s="10"/>
    </row>
    <row r="332" spans="1:15" x14ac:dyDescent="0.2">
      <c r="A332" s="6" t="s">
        <v>11</v>
      </c>
      <c r="B332" s="6" t="s">
        <v>287</v>
      </c>
      <c r="C332" s="9">
        <v>2021</v>
      </c>
      <c r="D332" s="6" t="s">
        <v>241</v>
      </c>
      <c r="E332" s="10">
        <v>14.75</v>
      </c>
      <c r="F332" s="10">
        <v>0.61826347305389218</v>
      </c>
      <c r="G332" s="9">
        <v>14.75</v>
      </c>
      <c r="H332" s="11">
        <v>44354</v>
      </c>
      <c r="I332" s="11">
        <v>44579</v>
      </c>
      <c r="J332" s="9">
        <v>264.15094339622641</v>
      </c>
      <c r="K332" s="9">
        <v>132.0754716981132</v>
      </c>
      <c r="N332" s="10"/>
      <c r="O332" s="10"/>
    </row>
    <row r="333" spans="1:15" x14ac:dyDescent="0.2">
      <c r="A333" s="6" t="s">
        <v>11</v>
      </c>
      <c r="B333" s="6" t="s">
        <v>288</v>
      </c>
      <c r="C333" s="9">
        <v>2022</v>
      </c>
      <c r="D333" s="6" t="s">
        <v>241</v>
      </c>
      <c r="E333" s="10">
        <v>7.4081950207468878</v>
      </c>
      <c r="F333" s="10">
        <v>0.61734958506224069</v>
      </c>
      <c r="G333" s="9">
        <v>14.695883794379862</v>
      </c>
      <c r="H333" s="11">
        <v>44755</v>
      </c>
      <c r="I333" s="11">
        <v>44893</v>
      </c>
      <c r="J333" s="9">
        <v>240.04761904761904</v>
      </c>
      <c r="K333" s="9">
        <v>118.25005864414732</v>
      </c>
      <c r="N333" s="10"/>
      <c r="O333" s="10"/>
    </row>
    <row r="334" spans="1:15" x14ac:dyDescent="0.2">
      <c r="A334" s="6" t="s">
        <v>15</v>
      </c>
      <c r="B334" s="6" t="s">
        <v>289</v>
      </c>
      <c r="C334" s="9">
        <v>2021</v>
      </c>
      <c r="D334" s="6" t="s">
        <v>241</v>
      </c>
      <c r="E334" s="10">
        <v>10.96</v>
      </c>
      <c r="F334" s="10">
        <v>0.41470270270270276</v>
      </c>
      <c r="G334" s="9">
        <v>14.662207357859534</v>
      </c>
      <c r="H334" s="11">
        <v>44439</v>
      </c>
      <c r="I334" s="11">
        <v>44680</v>
      </c>
      <c r="J334" s="9">
        <v>186.20996441281136</v>
      </c>
      <c r="K334" s="9">
        <v>117.11318516529016</v>
      </c>
      <c r="N334" s="10"/>
      <c r="O334" s="10"/>
    </row>
    <row r="335" spans="1:15" x14ac:dyDescent="0.2">
      <c r="A335" s="6" t="s">
        <v>11</v>
      </c>
      <c r="B335" s="6" t="s">
        <v>290</v>
      </c>
      <c r="C335" s="9">
        <v>2022</v>
      </c>
      <c r="D335" s="6" t="s">
        <v>241</v>
      </c>
      <c r="E335" s="10">
        <v>9.0157750342935525</v>
      </c>
      <c r="F335" s="10">
        <v>0.52592021033379055</v>
      </c>
      <c r="G335" s="9">
        <v>14.418319261624104</v>
      </c>
      <c r="H335" s="11">
        <v>44725</v>
      </c>
      <c r="I335" s="11">
        <v>44894</v>
      </c>
      <c r="J335" s="9">
        <v>251.55747126436782</v>
      </c>
      <c r="K335" s="9">
        <v>109.61109859013848</v>
      </c>
      <c r="N335" s="10"/>
      <c r="O335" s="10"/>
    </row>
    <row r="336" spans="1:15" x14ac:dyDescent="0.2">
      <c r="A336" s="6" t="s">
        <v>11</v>
      </c>
      <c r="B336" s="6" t="s">
        <v>291</v>
      </c>
      <c r="C336" s="9">
        <v>2019</v>
      </c>
      <c r="D336" s="6" t="s">
        <v>245</v>
      </c>
      <c r="E336" s="10">
        <v>8.9329230769230747</v>
      </c>
      <c r="F336" s="10">
        <v>0.32567948717948714</v>
      </c>
      <c r="G336" s="9">
        <v>14.393306956505585</v>
      </c>
      <c r="H336" s="11">
        <v>43720</v>
      </c>
      <c r="I336" s="11">
        <v>43980</v>
      </c>
      <c r="J336" s="9">
        <v>167.09278546944716</v>
      </c>
      <c r="K336" s="9" t="s">
        <v>390</v>
      </c>
      <c r="N336" s="10"/>
      <c r="O336" s="10"/>
    </row>
    <row r="337" spans="1:15" x14ac:dyDescent="0.2">
      <c r="A337" s="6" t="s">
        <v>11</v>
      </c>
      <c r="B337" s="6" t="s">
        <v>292</v>
      </c>
      <c r="C337" s="9">
        <v>2019</v>
      </c>
      <c r="D337" s="6" t="s">
        <v>245</v>
      </c>
      <c r="E337" s="10">
        <v>13.74</v>
      </c>
      <c r="F337" s="10">
        <v>0.48822335025380714</v>
      </c>
      <c r="G337" s="9">
        <v>14.322277039848199</v>
      </c>
      <c r="H337" s="11">
        <v>43727</v>
      </c>
      <c r="I337" s="11">
        <v>44019</v>
      </c>
      <c r="J337" s="9">
        <v>229.97988429312406</v>
      </c>
      <c r="K337" s="9" t="s">
        <v>390</v>
      </c>
      <c r="N337" s="10"/>
      <c r="O337" s="10"/>
    </row>
    <row r="338" spans="1:15" x14ac:dyDescent="0.2">
      <c r="A338" s="6" t="s">
        <v>11</v>
      </c>
      <c r="B338" s="6" t="s">
        <v>293</v>
      </c>
      <c r="C338" s="9">
        <v>2025</v>
      </c>
      <c r="D338" s="6" t="s">
        <v>241</v>
      </c>
      <c r="E338" s="10">
        <v>25.74</v>
      </c>
      <c r="F338" s="10">
        <v>0.73243902439024378</v>
      </c>
      <c r="G338" s="9">
        <v>14.315906562847607</v>
      </c>
      <c r="H338" s="11">
        <v>45637</v>
      </c>
      <c r="I338" s="11">
        <v>45968</v>
      </c>
      <c r="J338" s="9">
        <v>346.72176308539946</v>
      </c>
      <c r="K338" s="9">
        <v>153.75687941702859</v>
      </c>
      <c r="N338" s="10"/>
      <c r="O338" s="10"/>
    </row>
    <row r="339" spans="1:15" x14ac:dyDescent="0.2">
      <c r="A339" s="6" t="s">
        <v>15</v>
      </c>
      <c r="B339" s="6" t="s">
        <v>265</v>
      </c>
      <c r="C339" s="9">
        <v>2023</v>
      </c>
      <c r="D339" s="6" t="s">
        <v>241</v>
      </c>
      <c r="E339" s="10">
        <v>18.989999999999998</v>
      </c>
      <c r="F339" s="10">
        <v>0.58302631578947373</v>
      </c>
      <c r="G339" s="9">
        <v>14.249268402491181</v>
      </c>
      <c r="H339" s="11">
        <v>44909</v>
      </c>
      <c r="I339" s="11">
        <v>45226</v>
      </c>
      <c r="J339" s="9">
        <v>237.98214285714286</v>
      </c>
      <c r="K339" s="9">
        <v>105.76984126984127</v>
      </c>
      <c r="N339" s="10"/>
      <c r="O339" s="10"/>
    </row>
    <row r="340" spans="1:15" x14ac:dyDescent="0.2">
      <c r="A340" s="6" t="s">
        <v>11</v>
      </c>
      <c r="B340" s="6" t="s">
        <v>294</v>
      </c>
      <c r="C340" s="9">
        <v>2019</v>
      </c>
      <c r="D340" s="6" t="s">
        <v>241</v>
      </c>
      <c r="E340" s="10">
        <v>13.516676129032259</v>
      </c>
      <c r="F340" s="10">
        <v>0.48771511805786499</v>
      </c>
      <c r="G340" s="9">
        <v>14.089489095917244</v>
      </c>
      <c r="H340" s="11">
        <v>43727</v>
      </c>
      <c r="I340" s="11">
        <v>44019</v>
      </c>
      <c r="J340" s="9">
        <v>229.97988429312406</v>
      </c>
      <c r="K340" s="9" t="s">
        <v>390</v>
      </c>
      <c r="N340" s="10"/>
      <c r="O340" s="10"/>
    </row>
    <row r="341" spans="1:15" x14ac:dyDescent="0.2">
      <c r="A341" s="6" t="s">
        <v>11</v>
      </c>
      <c r="B341" s="6" t="s">
        <v>295</v>
      </c>
      <c r="C341" s="9">
        <v>2016</v>
      </c>
      <c r="D341" s="6" t="s">
        <v>245</v>
      </c>
      <c r="E341" s="10">
        <v>11.18806324786325</v>
      </c>
      <c r="F341" s="10">
        <v>0.38017690648079006</v>
      </c>
      <c r="G341" s="9">
        <v>13.97940032720299</v>
      </c>
      <c r="H341" s="11">
        <v>42587</v>
      </c>
      <c r="I341" s="11">
        <v>42860</v>
      </c>
      <c r="J341" s="9">
        <v>205.21153261033771</v>
      </c>
      <c r="K341" s="9" t="s">
        <v>390</v>
      </c>
      <c r="N341" s="10"/>
      <c r="O341" s="10"/>
    </row>
    <row r="342" spans="1:15" x14ac:dyDescent="0.2">
      <c r="A342" s="6" t="s">
        <v>14</v>
      </c>
      <c r="B342" s="6" t="s">
        <v>296</v>
      </c>
      <c r="C342" s="9">
        <v>2023</v>
      </c>
      <c r="D342" s="6" t="s">
        <v>241</v>
      </c>
      <c r="E342" s="10">
        <v>5.0999999999999996</v>
      </c>
      <c r="F342" s="10">
        <v>0.37187500000000001</v>
      </c>
      <c r="G342" s="9">
        <v>13.877551020408163</v>
      </c>
      <c r="H342" s="11">
        <v>45175</v>
      </c>
      <c r="I342" s="11">
        <v>45354</v>
      </c>
      <c r="J342" s="9">
        <v>145.33898305084747</v>
      </c>
      <c r="K342" s="9">
        <v>242.23163841807914</v>
      </c>
      <c r="N342" s="10"/>
      <c r="O342" s="10"/>
    </row>
    <row r="343" spans="1:15" x14ac:dyDescent="0.2">
      <c r="A343" s="6" t="s">
        <v>15</v>
      </c>
      <c r="B343" s="6" t="s">
        <v>297</v>
      </c>
      <c r="C343" s="9">
        <v>2025</v>
      </c>
      <c r="D343" s="6" t="s">
        <v>241</v>
      </c>
      <c r="E343" s="10">
        <v>16.95</v>
      </c>
      <c r="F343" s="10">
        <v>0.60535714285714282</v>
      </c>
      <c r="G343" s="9">
        <v>13.764820529478643</v>
      </c>
      <c r="H343" s="11">
        <v>45642</v>
      </c>
      <c r="I343" s="11">
        <v>45937</v>
      </c>
      <c r="J343" s="9">
        <v>255.78041543026706</v>
      </c>
      <c r="K343" s="9">
        <v>108.8427299703264</v>
      </c>
      <c r="N343" s="10"/>
      <c r="O343" s="10"/>
    </row>
    <row r="344" spans="1:15" x14ac:dyDescent="0.2">
      <c r="A344" s="6" t="s">
        <v>11</v>
      </c>
      <c r="B344" s="6" t="s">
        <v>278</v>
      </c>
      <c r="C344" s="9">
        <v>2018</v>
      </c>
      <c r="D344" s="6" t="s">
        <v>245</v>
      </c>
      <c r="E344" s="10">
        <v>14.050239316239317</v>
      </c>
      <c r="F344" s="10">
        <v>0.35125598290598292</v>
      </c>
      <c r="G344" s="9">
        <v>13.7051192571548</v>
      </c>
      <c r="H344" s="11">
        <v>43334</v>
      </c>
      <c r="I344" s="11">
        <v>43682</v>
      </c>
      <c r="J344" s="9">
        <v>206.21473703236339</v>
      </c>
      <c r="K344" s="9" t="s">
        <v>390</v>
      </c>
      <c r="N344" s="10"/>
      <c r="O344" s="10"/>
    </row>
    <row r="345" spans="1:15" x14ac:dyDescent="0.2">
      <c r="A345" s="6" t="s">
        <v>11</v>
      </c>
      <c r="B345" s="6" t="s">
        <v>298</v>
      </c>
      <c r="C345" s="9">
        <v>2020</v>
      </c>
      <c r="D345" s="6" t="s">
        <v>241</v>
      </c>
      <c r="E345" s="10">
        <v>15.09</v>
      </c>
      <c r="F345" s="10">
        <v>0.41916666666666669</v>
      </c>
      <c r="G345" s="9">
        <v>13.526916277229823</v>
      </c>
      <c r="H345" s="11">
        <v>43994</v>
      </c>
      <c r="I345" s="11">
        <v>44315</v>
      </c>
      <c r="J345" s="9">
        <v>241.01466427149634</v>
      </c>
      <c r="K345" s="9">
        <v>192.81173141719708</v>
      </c>
    </row>
    <row r="346" spans="1:15" x14ac:dyDescent="0.2">
      <c r="A346" s="6" t="s">
        <v>15</v>
      </c>
      <c r="B346" s="6" t="s">
        <v>299</v>
      </c>
      <c r="C346" s="9">
        <v>2024</v>
      </c>
      <c r="D346" s="6" t="s">
        <v>245</v>
      </c>
      <c r="E346" s="10">
        <v>14.3</v>
      </c>
      <c r="F346" s="10">
        <v>0.38352490421455943</v>
      </c>
      <c r="G346" s="9">
        <v>13.482934188195362</v>
      </c>
      <c r="H346" s="11">
        <v>45434</v>
      </c>
      <c r="I346" s="11">
        <v>45714</v>
      </c>
      <c r="J346" s="9">
        <v>237.9551282051282</v>
      </c>
      <c r="K346" s="9">
        <v>141.63995726495727</v>
      </c>
      <c r="N346" s="10"/>
      <c r="O346" s="10"/>
    </row>
    <row r="347" spans="1:15" x14ac:dyDescent="0.2">
      <c r="A347" s="6" t="s">
        <v>11</v>
      </c>
      <c r="B347" s="6" t="s">
        <v>300</v>
      </c>
      <c r="C347" s="9">
        <v>2022</v>
      </c>
      <c r="D347" s="6" t="s">
        <v>245</v>
      </c>
      <c r="E347" s="10">
        <v>7.6537208504801093</v>
      </c>
      <c r="F347" s="10">
        <v>0.50543439578642235</v>
      </c>
      <c r="G347" s="9">
        <v>13.451178999086308</v>
      </c>
      <c r="H347" s="11">
        <v>44726</v>
      </c>
      <c r="I347" s="11">
        <v>44890</v>
      </c>
      <c r="J347" s="9">
        <v>230.23121387283237</v>
      </c>
      <c r="K347" s="9">
        <v>100.31861170929515</v>
      </c>
      <c r="N347" s="10"/>
      <c r="O347" s="10"/>
    </row>
    <row r="348" spans="1:15" x14ac:dyDescent="0.2">
      <c r="A348" s="6" t="s">
        <v>11</v>
      </c>
      <c r="B348" s="6" t="s">
        <v>301</v>
      </c>
      <c r="C348" s="9">
        <v>2020</v>
      </c>
      <c r="D348" s="6" t="s">
        <v>245</v>
      </c>
      <c r="E348" s="10">
        <v>15.29</v>
      </c>
      <c r="F348" s="10">
        <v>0.42472222222222222</v>
      </c>
      <c r="G348" s="9">
        <v>13.433365433907932</v>
      </c>
      <c r="H348" s="11">
        <v>44042</v>
      </c>
      <c r="I348" s="11">
        <v>44369</v>
      </c>
      <c r="J348" s="9">
        <v>225.70750020627628</v>
      </c>
      <c r="K348" s="9">
        <v>100.31444453612279</v>
      </c>
      <c r="N348" s="10"/>
      <c r="O348" s="10"/>
    </row>
    <row r="349" spans="1:15" x14ac:dyDescent="0.2">
      <c r="A349" s="6" t="s">
        <v>13</v>
      </c>
      <c r="B349" s="6" t="s">
        <v>302</v>
      </c>
      <c r="C349" s="9">
        <v>2021</v>
      </c>
      <c r="D349" s="6" t="s">
        <v>241</v>
      </c>
      <c r="E349" s="10">
        <v>8.8000000000000007</v>
      </c>
      <c r="F349" s="10">
        <v>0.29194312796208532</v>
      </c>
      <c r="G349" s="9">
        <v>13.157894736842104</v>
      </c>
      <c r="H349" s="11">
        <v>44429</v>
      </c>
      <c r="I349" s="11">
        <v>44698</v>
      </c>
      <c r="J349" s="9">
        <v>166.01418439716312</v>
      </c>
      <c r="K349" s="9">
        <v>69.172576832151307</v>
      </c>
      <c r="N349" s="10"/>
      <c r="O349" s="10"/>
    </row>
    <row r="350" spans="1:15" x14ac:dyDescent="0.2">
      <c r="A350" s="6" t="s">
        <v>11</v>
      </c>
      <c r="B350" s="6" t="s">
        <v>303</v>
      </c>
      <c r="C350" s="9">
        <v>2019</v>
      </c>
      <c r="D350" s="6" t="s">
        <v>245</v>
      </c>
      <c r="E350" s="10">
        <v>9.0619487179487201</v>
      </c>
      <c r="F350" s="10">
        <v>0.27108393600701297</v>
      </c>
      <c r="G350" s="9">
        <v>13.139142969273667</v>
      </c>
      <c r="H350" s="11">
        <v>43720</v>
      </c>
      <c r="I350" s="11">
        <v>44008</v>
      </c>
      <c r="J350" s="9">
        <v>167.63323035663245</v>
      </c>
      <c r="K350" s="9" t="s">
        <v>390</v>
      </c>
      <c r="N350" s="10"/>
      <c r="O350" s="10"/>
    </row>
    <row r="351" spans="1:15" x14ac:dyDescent="0.2">
      <c r="A351" s="6" t="s">
        <v>15</v>
      </c>
      <c r="B351" s="6" t="s">
        <v>304</v>
      </c>
      <c r="C351" s="9">
        <v>2021</v>
      </c>
      <c r="D351" s="6" t="s">
        <v>245</v>
      </c>
      <c r="E351" s="10">
        <v>14.38</v>
      </c>
      <c r="F351" s="10">
        <v>0.54410810810810817</v>
      </c>
      <c r="G351" s="9">
        <v>13.138419369575148</v>
      </c>
      <c r="H351" s="11">
        <v>44274</v>
      </c>
      <c r="I351" s="11">
        <v>44512</v>
      </c>
      <c r="J351" s="9">
        <v>293.544061302682</v>
      </c>
      <c r="K351" s="9">
        <v>134.9627868058308</v>
      </c>
      <c r="N351" s="10"/>
      <c r="O351" s="10"/>
    </row>
    <row r="352" spans="1:15" x14ac:dyDescent="0.2">
      <c r="A352" s="6" t="s">
        <v>11</v>
      </c>
      <c r="B352" s="6" t="s">
        <v>305</v>
      </c>
      <c r="C352" s="9">
        <v>2016</v>
      </c>
      <c r="D352" s="6" t="s">
        <v>245</v>
      </c>
      <c r="E352" s="10">
        <v>13.960222222222223</v>
      </c>
      <c r="F352" s="10">
        <v>0.40049817850637526</v>
      </c>
      <c r="G352" s="9">
        <v>13.107014117593843</v>
      </c>
      <c r="H352" s="11">
        <v>42600</v>
      </c>
      <c r="I352" s="11">
        <v>42913</v>
      </c>
      <c r="J352" s="9">
        <v>238.20027953614598</v>
      </c>
      <c r="K352" s="9" t="s">
        <v>390</v>
      </c>
      <c r="N352" s="10"/>
      <c r="O352" s="10"/>
    </row>
    <row r="353" spans="1:15" x14ac:dyDescent="0.2">
      <c r="A353" s="6" t="s">
        <v>13</v>
      </c>
      <c r="B353" s="6" t="s">
        <v>306</v>
      </c>
      <c r="C353" s="9">
        <v>2021</v>
      </c>
      <c r="D353" s="6" t="s">
        <v>245</v>
      </c>
      <c r="E353" s="10">
        <v>16.600000000000001</v>
      </c>
      <c r="F353" s="10">
        <v>0.43684210526315792</v>
      </c>
      <c r="G353" s="9">
        <v>13.065722156631248</v>
      </c>
      <c r="H353" s="11">
        <v>44246</v>
      </c>
      <c r="I353" s="11">
        <v>44572</v>
      </c>
      <c r="J353" s="9">
        <v>272.80674846625766</v>
      </c>
      <c r="K353" s="9">
        <v>136.40337423312883</v>
      </c>
      <c r="N353" s="10"/>
      <c r="O353" s="10"/>
    </row>
    <row r="354" spans="1:15" x14ac:dyDescent="0.2">
      <c r="A354" s="6" t="s">
        <v>13</v>
      </c>
      <c r="B354" s="6" t="s">
        <v>307</v>
      </c>
      <c r="C354" s="9">
        <v>2021</v>
      </c>
      <c r="D354" s="6" t="s">
        <v>241</v>
      </c>
      <c r="E354" s="10">
        <v>8.6999999999999993</v>
      </c>
      <c r="F354" s="10">
        <v>0.28862559241706159</v>
      </c>
      <c r="G354" s="9">
        <v>13.008373205741627</v>
      </c>
      <c r="H354" s="11">
        <v>44429</v>
      </c>
      <c r="I354" s="11">
        <v>44698</v>
      </c>
      <c r="J354" s="9">
        <v>166.01418439716312</v>
      </c>
      <c r="K354" s="9">
        <v>69.172576832151307</v>
      </c>
      <c r="N354" s="10"/>
      <c r="O354" s="10"/>
    </row>
    <row r="355" spans="1:15" x14ac:dyDescent="0.2">
      <c r="A355" s="6" t="s">
        <v>15</v>
      </c>
      <c r="B355" s="6" t="s">
        <v>308</v>
      </c>
      <c r="C355" s="9">
        <v>2024</v>
      </c>
      <c r="D355" s="6" t="s">
        <v>241</v>
      </c>
      <c r="E355" s="10">
        <v>20.83</v>
      </c>
      <c r="F355" s="10">
        <v>0.69433333333333325</v>
      </c>
      <c r="G355" s="9">
        <v>12.853264223127235</v>
      </c>
      <c r="H355" s="11">
        <v>45302</v>
      </c>
      <c r="I355" s="11">
        <v>45565</v>
      </c>
      <c r="J355" s="9">
        <v>405.15</v>
      </c>
      <c r="K355" s="9">
        <v>180.06666666666666</v>
      </c>
      <c r="N355" s="10"/>
      <c r="O355" s="10"/>
    </row>
    <row r="356" spans="1:15" x14ac:dyDescent="0.2">
      <c r="A356" s="6" t="s">
        <v>11</v>
      </c>
      <c r="B356" s="6" t="s">
        <v>309</v>
      </c>
      <c r="C356" s="9">
        <v>2019</v>
      </c>
      <c r="D356" s="6" t="s">
        <v>245</v>
      </c>
      <c r="E356" s="10">
        <v>7.7121025641025645</v>
      </c>
      <c r="F356" s="10">
        <v>0.27265009065009066</v>
      </c>
      <c r="G356" s="9">
        <v>12.819169656002401</v>
      </c>
      <c r="H356" s="11">
        <v>43712</v>
      </c>
      <c r="I356" s="11">
        <v>43980</v>
      </c>
      <c r="J356" s="9">
        <v>157.13616415061858</v>
      </c>
      <c r="K356" s="9" t="s">
        <v>390</v>
      </c>
      <c r="N356" s="10"/>
      <c r="O356" s="10"/>
    </row>
    <row r="357" spans="1:15" x14ac:dyDescent="0.2">
      <c r="A357" s="6" t="s">
        <v>11</v>
      </c>
      <c r="B357" s="6" t="s">
        <v>310</v>
      </c>
      <c r="C357" s="9">
        <v>2021</v>
      </c>
      <c r="D357" s="6" t="s">
        <v>241</v>
      </c>
      <c r="E357" s="10">
        <v>13.48</v>
      </c>
      <c r="F357" s="10">
        <v>0.43685185185185188</v>
      </c>
      <c r="G357" s="9">
        <v>12.643031326205215</v>
      </c>
      <c r="H357" s="11">
        <v>44438</v>
      </c>
      <c r="I357" s="11">
        <v>44720</v>
      </c>
      <c r="J357" s="9">
        <v>194.359375</v>
      </c>
      <c r="K357" s="9">
        <v>77.743750000000006</v>
      </c>
      <c r="N357" s="10"/>
      <c r="O357" s="10"/>
    </row>
    <row r="358" spans="1:15" x14ac:dyDescent="0.2">
      <c r="A358" s="6" t="s">
        <v>11</v>
      </c>
      <c r="B358" s="6" t="s">
        <v>286</v>
      </c>
      <c r="C358" s="9">
        <v>2017</v>
      </c>
      <c r="D358" s="6" t="s">
        <v>245</v>
      </c>
      <c r="E358" s="10">
        <v>8.3150598290598285</v>
      </c>
      <c r="F358" s="10">
        <v>0.27198793833373269</v>
      </c>
      <c r="G358" s="9">
        <v>12.627858171931619</v>
      </c>
      <c r="H358" s="11">
        <v>42985</v>
      </c>
      <c r="I358" s="11">
        <v>43270</v>
      </c>
      <c r="J358" s="9">
        <v>161.7293581227153</v>
      </c>
      <c r="K358" s="9" t="s">
        <v>390</v>
      </c>
      <c r="N358" s="10"/>
      <c r="O358" s="10"/>
    </row>
    <row r="359" spans="1:15" x14ac:dyDescent="0.2">
      <c r="A359" s="6" t="s">
        <v>11</v>
      </c>
      <c r="B359" s="6" t="s">
        <v>311</v>
      </c>
      <c r="C359" s="9">
        <v>2019</v>
      </c>
      <c r="D359" s="6" t="s">
        <v>241</v>
      </c>
      <c r="E359" s="10">
        <v>7.5245897435897442</v>
      </c>
      <c r="F359" s="10">
        <v>0.25568994274334084</v>
      </c>
      <c r="G359" s="9">
        <v>12.507483103749047</v>
      </c>
      <c r="H359" s="11">
        <v>43712</v>
      </c>
      <c r="I359" s="11">
        <v>43979</v>
      </c>
      <c r="J359" s="9">
        <v>157.72468910998418</v>
      </c>
      <c r="K359" s="9" t="s">
        <v>390</v>
      </c>
      <c r="N359" s="10"/>
      <c r="O359" s="10"/>
    </row>
    <row r="360" spans="1:15" x14ac:dyDescent="0.2">
      <c r="A360" s="6" t="s">
        <v>18</v>
      </c>
      <c r="B360" s="6" t="s">
        <v>249</v>
      </c>
      <c r="C360" s="9">
        <v>2022</v>
      </c>
      <c r="D360" s="6" t="s">
        <v>241</v>
      </c>
      <c r="E360" s="10">
        <v>3.9</v>
      </c>
      <c r="F360" s="10">
        <v>0.20222222222222222</v>
      </c>
      <c r="G360" s="9">
        <v>12.446345082895851</v>
      </c>
      <c r="H360" s="11">
        <v>44805</v>
      </c>
      <c r="I360" s="11">
        <v>44974</v>
      </c>
      <c r="J360" s="9">
        <v>124.62585227272727</v>
      </c>
      <c r="K360" s="9">
        <v>83.08390151515151</v>
      </c>
      <c r="N360" s="10"/>
      <c r="O360" s="10"/>
    </row>
    <row r="361" spans="1:15" x14ac:dyDescent="0.2">
      <c r="A361" s="6" t="s">
        <v>14</v>
      </c>
      <c r="B361" s="6" t="s">
        <v>312</v>
      </c>
      <c r="C361" s="9">
        <v>2021</v>
      </c>
      <c r="D361" s="6" t="s">
        <v>241</v>
      </c>
      <c r="E361" s="10">
        <v>3.7</v>
      </c>
      <c r="F361" s="10">
        <v>0.275531914893617</v>
      </c>
      <c r="G361" s="9">
        <v>12.377812412819161</v>
      </c>
      <c r="H361" s="11">
        <v>44306</v>
      </c>
      <c r="I361" s="11">
        <v>44480</v>
      </c>
      <c r="J361" s="9">
        <v>106.21592639593909</v>
      </c>
      <c r="K361" s="9">
        <v>76.140449029347025</v>
      </c>
      <c r="N361" s="10"/>
      <c r="O361" s="10"/>
    </row>
    <row r="362" spans="1:15" x14ac:dyDescent="0.2">
      <c r="A362" s="6" t="s">
        <v>11</v>
      </c>
      <c r="B362" s="6" t="s">
        <v>298</v>
      </c>
      <c r="C362" s="9">
        <v>2019</v>
      </c>
      <c r="D362" s="6" t="s">
        <v>241</v>
      </c>
      <c r="E362" s="10">
        <v>9.3215897435897404</v>
      </c>
      <c r="F362" s="10">
        <v>0.31370734714003934</v>
      </c>
      <c r="G362" s="9">
        <v>12.375432543124477</v>
      </c>
      <c r="H362" s="11">
        <v>43608</v>
      </c>
      <c r="I362" s="11">
        <v>43892</v>
      </c>
      <c r="J362" s="9">
        <v>185.65613192055832</v>
      </c>
      <c r="K362" s="9" t="s">
        <v>390</v>
      </c>
      <c r="N362" s="10"/>
      <c r="O362" s="10"/>
    </row>
    <row r="363" spans="1:15" x14ac:dyDescent="0.2">
      <c r="A363" s="6" t="s">
        <v>11</v>
      </c>
      <c r="B363" s="6" t="s">
        <v>313</v>
      </c>
      <c r="C363" s="9">
        <v>2019</v>
      </c>
      <c r="D363" s="6" t="s">
        <v>245</v>
      </c>
      <c r="E363" s="10">
        <v>8.3102051282051281</v>
      </c>
      <c r="F363" s="10">
        <v>0.25739573405945088</v>
      </c>
      <c r="G363" s="9">
        <v>12.363789957990317</v>
      </c>
      <c r="H363" s="11">
        <v>43700</v>
      </c>
      <c r="I363" s="11">
        <v>44008</v>
      </c>
      <c r="J363" s="9">
        <v>152.75922594126479</v>
      </c>
      <c r="K363" s="9" t="s">
        <v>390</v>
      </c>
      <c r="N363" s="10"/>
      <c r="O363" s="10"/>
    </row>
    <row r="364" spans="1:15" x14ac:dyDescent="0.2">
      <c r="A364" s="6" t="s">
        <v>11</v>
      </c>
      <c r="B364" s="6" t="s">
        <v>314</v>
      </c>
      <c r="C364" s="9">
        <v>2024</v>
      </c>
      <c r="D364" s="6" t="s">
        <v>245</v>
      </c>
      <c r="E364" s="10">
        <v>18.47</v>
      </c>
      <c r="F364" s="10">
        <v>0.55017021276595746</v>
      </c>
      <c r="G364" s="9">
        <v>12.292845257903494</v>
      </c>
      <c r="H364" s="11">
        <v>45278</v>
      </c>
      <c r="I364" s="11">
        <v>45590</v>
      </c>
      <c r="J364" s="9">
        <v>292.15277777777777</v>
      </c>
      <c r="K364" s="9">
        <v>124.85161443494778</v>
      </c>
      <c r="N364" s="10"/>
      <c r="O364" s="10"/>
    </row>
    <row r="365" spans="1:15" x14ac:dyDescent="0.2">
      <c r="A365" s="6" t="s">
        <v>11</v>
      </c>
      <c r="B365" s="6" t="s">
        <v>315</v>
      </c>
      <c r="C365" s="9">
        <v>2021</v>
      </c>
      <c r="D365" s="6" t="s">
        <v>245</v>
      </c>
      <c r="E365" s="10">
        <v>13.1</v>
      </c>
      <c r="F365" s="10">
        <v>0.43875598086124401</v>
      </c>
      <c r="G365" s="9">
        <v>12.286625398611893</v>
      </c>
      <c r="H365" s="11">
        <v>44438</v>
      </c>
      <c r="I365" s="11">
        <v>44714</v>
      </c>
      <c r="J365" s="9">
        <v>194.359375</v>
      </c>
      <c r="K365" s="9">
        <v>86.381944444444443</v>
      </c>
      <c r="N365" s="10"/>
      <c r="O365" s="10"/>
    </row>
    <row r="366" spans="1:15" x14ac:dyDescent="0.2">
      <c r="A366" s="6" t="s">
        <v>14</v>
      </c>
      <c r="B366" s="6" t="s">
        <v>316</v>
      </c>
      <c r="C366" s="9">
        <v>2021</v>
      </c>
      <c r="D366" s="6" t="s">
        <v>245</v>
      </c>
      <c r="E366" s="10">
        <v>4.22</v>
      </c>
      <c r="F366" s="10">
        <v>0.29247524752475246</v>
      </c>
      <c r="G366" s="9">
        <v>12.258269157500758</v>
      </c>
      <c r="H366" s="11">
        <v>44302</v>
      </c>
      <c r="I366" s="11">
        <v>44480</v>
      </c>
      <c r="J366" s="9">
        <v>119.89064054726369</v>
      </c>
      <c r="K366" s="9">
        <v>77.348800353073344</v>
      </c>
      <c r="N366" s="10"/>
      <c r="O366" s="10"/>
    </row>
    <row r="367" spans="1:15" x14ac:dyDescent="0.2">
      <c r="A367" s="6" t="s">
        <v>11</v>
      </c>
      <c r="B367" s="6" t="s">
        <v>317</v>
      </c>
      <c r="C367" s="9">
        <v>2019</v>
      </c>
      <c r="D367" s="6" t="s">
        <v>241</v>
      </c>
      <c r="E367" s="10">
        <v>8.2381794871794867</v>
      </c>
      <c r="F367" s="10">
        <v>0.2474989545504567</v>
      </c>
      <c r="G367" s="9">
        <v>12.256631364009499</v>
      </c>
      <c r="H367" s="11">
        <v>43700</v>
      </c>
      <c r="I367" s="11">
        <v>44007</v>
      </c>
      <c r="J367" s="9">
        <v>153.25681299644808</v>
      </c>
      <c r="K367" s="9" t="s">
        <v>390</v>
      </c>
      <c r="N367" s="10"/>
      <c r="O367" s="10"/>
    </row>
    <row r="368" spans="1:15" x14ac:dyDescent="0.2">
      <c r="A368" s="6" t="s">
        <v>18</v>
      </c>
      <c r="B368" s="6" t="s">
        <v>318</v>
      </c>
      <c r="C368" s="9">
        <v>2024</v>
      </c>
      <c r="D368" s="6" t="s">
        <v>245</v>
      </c>
      <c r="E368" s="10">
        <v>16.399999999999999</v>
      </c>
      <c r="F368" s="10">
        <v>0.42518518518518517</v>
      </c>
      <c r="G368" s="9">
        <v>12.140629950637974</v>
      </c>
      <c r="H368" s="11">
        <v>45274</v>
      </c>
      <c r="I368" s="11">
        <v>45597</v>
      </c>
      <c r="J368" s="9">
        <v>255.56356756756759</v>
      </c>
      <c r="K368" s="9">
        <v>102.22542702702704</v>
      </c>
      <c r="N368" s="10"/>
      <c r="O368" s="10"/>
    </row>
    <row r="369" spans="1:15" x14ac:dyDescent="0.2">
      <c r="A369" s="6" t="s">
        <v>13</v>
      </c>
      <c r="B369" s="6" t="s">
        <v>319</v>
      </c>
      <c r="C369" s="9">
        <v>2022</v>
      </c>
      <c r="D369" s="6" t="s">
        <v>245</v>
      </c>
      <c r="E369" s="10">
        <v>4.47</v>
      </c>
      <c r="F369" s="10">
        <v>0.26516949152542368</v>
      </c>
      <c r="G369" s="9">
        <v>12.113821138211382</v>
      </c>
      <c r="H369" s="11">
        <v>44812</v>
      </c>
      <c r="I369" s="11">
        <v>45014</v>
      </c>
      <c r="J369" s="9">
        <v>115.3125</v>
      </c>
      <c r="K369" s="9">
        <v>57.65625</v>
      </c>
      <c r="N369" s="10"/>
      <c r="O369" s="10"/>
    </row>
    <row r="370" spans="1:15" x14ac:dyDescent="0.2">
      <c r="A370" s="6" t="s">
        <v>11</v>
      </c>
      <c r="B370" s="6" t="s">
        <v>320</v>
      </c>
      <c r="C370" s="9">
        <v>2020</v>
      </c>
      <c r="D370" s="6" t="s">
        <v>245</v>
      </c>
      <c r="E370" s="10">
        <v>13.51</v>
      </c>
      <c r="F370" s="10">
        <v>0.38133064516129028</v>
      </c>
      <c r="G370" s="9">
        <v>12.110579118977794</v>
      </c>
      <c r="H370" s="11">
        <v>43994</v>
      </c>
      <c r="I370" s="11">
        <v>44315</v>
      </c>
      <c r="J370" s="9">
        <v>241.01466427149634</v>
      </c>
      <c r="K370" s="9">
        <v>192.81173141719708</v>
      </c>
      <c r="N370" s="10"/>
      <c r="O370" s="10"/>
    </row>
    <row r="371" spans="1:15" x14ac:dyDescent="0.2">
      <c r="A371" s="6" t="s">
        <v>11</v>
      </c>
      <c r="B371" s="6" t="s">
        <v>321</v>
      </c>
      <c r="C371" s="9">
        <v>2018</v>
      </c>
      <c r="D371" s="6" t="s">
        <v>245</v>
      </c>
      <c r="E371" s="10">
        <v>17.720100000000002</v>
      </c>
      <c r="F371" s="10">
        <v>0.40937524752475252</v>
      </c>
      <c r="G371" s="9">
        <v>11.952654223968569</v>
      </c>
      <c r="H371" s="11">
        <v>43334</v>
      </c>
      <c r="I371" s="11">
        <v>43692</v>
      </c>
      <c r="J371" s="9">
        <v>289.87904756739164</v>
      </c>
      <c r="K371" s="9" t="s">
        <v>390</v>
      </c>
      <c r="N371" s="10"/>
      <c r="O371" s="10"/>
    </row>
    <row r="372" spans="1:15" x14ac:dyDescent="0.2">
      <c r="A372" s="6" t="s">
        <v>11</v>
      </c>
      <c r="B372" s="6" t="s">
        <v>322</v>
      </c>
      <c r="C372" s="9">
        <v>2019</v>
      </c>
      <c r="D372" s="6" t="s">
        <v>245</v>
      </c>
      <c r="E372" s="10">
        <v>7.1633589743589736</v>
      </c>
      <c r="F372" s="10">
        <v>0.24223919236962713</v>
      </c>
      <c r="G372" s="9">
        <v>11.907040036861963</v>
      </c>
      <c r="H372" s="11">
        <v>43712</v>
      </c>
      <c r="I372" s="11">
        <v>43980</v>
      </c>
      <c r="J372" s="9">
        <v>157.13616415061858</v>
      </c>
      <c r="K372" s="9" t="s">
        <v>390</v>
      </c>
      <c r="N372" s="10"/>
      <c r="O372" s="10"/>
    </row>
    <row r="373" spans="1:15" x14ac:dyDescent="0.2">
      <c r="A373" s="6" t="s">
        <v>11</v>
      </c>
      <c r="B373" s="6" t="s">
        <v>323</v>
      </c>
      <c r="C373" s="9">
        <v>2020</v>
      </c>
      <c r="D373" s="6" t="s">
        <v>241</v>
      </c>
      <c r="E373" s="10">
        <v>14.2</v>
      </c>
      <c r="F373" s="10">
        <v>0.3928853754940711</v>
      </c>
      <c r="G373" s="9">
        <v>11.861144589134026</v>
      </c>
      <c r="H373" s="11">
        <v>43994</v>
      </c>
      <c r="I373" s="11">
        <v>44314</v>
      </c>
      <c r="J373" s="9">
        <v>258.65136467338914</v>
      </c>
      <c r="K373" s="9">
        <v>206.92109173871131</v>
      </c>
      <c r="N373" s="10"/>
      <c r="O373" s="10"/>
    </row>
    <row r="374" spans="1:15" x14ac:dyDescent="0.2">
      <c r="A374" s="6" t="s">
        <v>11</v>
      </c>
      <c r="B374" s="6" t="s">
        <v>324</v>
      </c>
      <c r="C374" s="9">
        <v>2020</v>
      </c>
      <c r="D374" s="6" t="s">
        <v>245</v>
      </c>
      <c r="E374" s="10">
        <v>13.21</v>
      </c>
      <c r="F374" s="10">
        <v>0.36694444444444446</v>
      </c>
      <c r="G374" s="9">
        <v>11.841654342094499</v>
      </c>
      <c r="H374" s="11">
        <v>43994</v>
      </c>
      <c r="I374" s="11">
        <v>44315</v>
      </c>
      <c r="J374" s="9">
        <v>241.01466427149634</v>
      </c>
      <c r="K374" s="9">
        <v>192.81173141719708</v>
      </c>
      <c r="N374" s="10"/>
      <c r="O374" s="10"/>
    </row>
    <row r="375" spans="1:15" x14ac:dyDescent="0.2">
      <c r="A375" s="6" t="s">
        <v>15</v>
      </c>
      <c r="B375" s="6" t="s">
        <v>325</v>
      </c>
      <c r="C375" s="9">
        <v>2022</v>
      </c>
      <c r="D375" s="6" t="s">
        <v>245</v>
      </c>
      <c r="E375" s="10">
        <v>6.87</v>
      </c>
      <c r="F375" s="10">
        <v>0.40411764705882353</v>
      </c>
      <c r="G375" s="9">
        <v>11.810211449200619</v>
      </c>
      <c r="H375" s="11">
        <v>44713</v>
      </c>
      <c r="I375" s="11">
        <v>44874</v>
      </c>
      <c r="J375" s="9">
        <v>202.58208955223881</v>
      </c>
      <c r="K375" s="9">
        <v>84.409203980099505</v>
      </c>
      <c r="N375" s="10"/>
      <c r="O375" s="10"/>
    </row>
    <row r="376" spans="1:15" x14ac:dyDescent="0.2">
      <c r="A376" s="6" t="s">
        <v>11</v>
      </c>
      <c r="B376" s="6" t="s">
        <v>278</v>
      </c>
      <c r="C376" s="9">
        <v>2017</v>
      </c>
      <c r="D376" s="6" t="s">
        <v>245</v>
      </c>
      <c r="E376" s="10">
        <v>8.1294615384615412</v>
      </c>
      <c r="F376" s="10">
        <v>0.25291658119658128</v>
      </c>
      <c r="G376" s="9">
        <v>11.806639014640693</v>
      </c>
      <c r="H376" s="11">
        <v>42943</v>
      </c>
      <c r="I376" s="11">
        <v>43228</v>
      </c>
      <c r="J376" s="9">
        <v>169.11754895495315</v>
      </c>
      <c r="K376" s="9" t="s">
        <v>390</v>
      </c>
      <c r="N376" s="10"/>
      <c r="O376" s="10"/>
    </row>
    <row r="377" spans="1:15" x14ac:dyDescent="0.2">
      <c r="A377" s="6" t="s">
        <v>11</v>
      </c>
      <c r="B377" s="6" t="s">
        <v>295</v>
      </c>
      <c r="C377" s="9">
        <v>2017</v>
      </c>
      <c r="D377" s="6" t="s">
        <v>245</v>
      </c>
      <c r="E377" s="10">
        <v>8.7836282051282044</v>
      </c>
      <c r="F377" s="10">
        <v>0.26617055167055165</v>
      </c>
      <c r="G377" s="9">
        <v>11.772767995804971</v>
      </c>
      <c r="H377" s="11">
        <v>42943</v>
      </c>
      <c r="I377" s="11">
        <v>43234</v>
      </c>
      <c r="J377" s="9">
        <v>179.47353216185167</v>
      </c>
      <c r="K377" s="9" t="s">
        <v>390</v>
      </c>
      <c r="N377" s="10"/>
      <c r="O377" s="10"/>
    </row>
    <row r="378" spans="1:15" x14ac:dyDescent="0.2">
      <c r="A378" s="6" t="s">
        <v>13</v>
      </c>
      <c r="B378" s="6" t="s">
        <v>326</v>
      </c>
      <c r="C378" s="9">
        <v>2021</v>
      </c>
      <c r="D378" s="6" t="s">
        <v>241</v>
      </c>
      <c r="E378" s="10">
        <v>9.41</v>
      </c>
      <c r="F378" s="10">
        <v>0.35994535519125687</v>
      </c>
      <c r="G378" s="9">
        <v>11.677835691238521</v>
      </c>
      <c r="H378" s="11">
        <v>44440</v>
      </c>
      <c r="I378" s="11">
        <v>44687</v>
      </c>
      <c r="J378" s="9">
        <v>206.61538461538461</v>
      </c>
      <c r="K378" s="9">
        <v>103.30769230769231</v>
      </c>
      <c r="N378" s="10"/>
      <c r="O378" s="10"/>
    </row>
    <row r="379" spans="1:15" x14ac:dyDescent="0.2">
      <c r="A379" s="6" t="s">
        <v>13</v>
      </c>
      <c r="B379" s="6" t="s">
        <v>327</v>
      </c>
      <c r="C379" s="9">
        <v>2022</v>
      </c>
      <c r="D379" s="6" t="s">
        <v>245</v>
      </c>
      <c r="E379" s="10">
        <v>9</v>
      </c>
      <c r="F379" s="10">
        <v>0.52941176470588236</v>
      </c>
      <c r="G379" s="9">
        <v>11.635423400129282</v>
      </c>
      <c r="H379" s="11">
        <v>44714</v>
      </c>
      <c r="I379" s="11">
        <v>44886</v>
      </c>
      <c r="J379" s="9">
        <v>311.17816091954023</v>
      </c>
      <c r="K379" s="9">
        <v>155.58908045977012</v>
      </c>
      <c r="N379" s="10"/>
      <c r="O379" s="10"/>
    </row>
    <row r="380" spans="1:15" x14ac:dyDescent="0.2">
      <c r="A380" s="6" t="s">
        <v>11</v>
      </c>
      <c r="B380" s="6" t="s">
        <v>328</v>
      </c>
      <c r="C380" s="9">
        <v>2017</v>
      </c>
      <c r="D380" s="6" t="s">
        <v>245</v>
      </c>
      <c r="E380" s="10">
        <v>10.298881118881118</v>
      </c>
      <c r="F380" s="10">
        <v>0.3482713421843856</v>
      </c>
      <c r="G380" s="9">
        <v>11.5919589990104</v>
      </c>
      <c r="H380" s="11">
        <v>42985</v>
      </c>
      <c r="I380" s="11">
        <v>43262</v>
      </c>
      <c r="J380" s="9">
        <v>224.51816273017775</v>
      </c>
      <c r="K380" s="9" t="s">
        <v>390</v>
      </c>
      <c r="N380" s="10"/>
      <c r="O380" s="10"/>
    </row>
    <row r="381" spans="1:15" x14ac:dyDescent="0.2">
      <c r="A381" s="6" t="s">
        <v>15</v>
      </c>
      <c r="B381" s="6" t="s">
        <v>329</v>
      </c>
      <c r="C381" s="9">
        <v>2021</v>
      </c>
      <c r="D381" s="6" t="s">
        <v>245</v>
      </c>
      <c r="E381" s="10">
        <v>8.66</v>
      </c>
      <c r="F381" s="10">
        <v>0.34443181818181817</v>
      </c>
      <c r="G381" s="9">
        <v>11.585284280936454</v>
      </c>
      <c r="H381" s="11">
        <v>44432</v>
      </c>
      <c r="I381" s="11">
        <v>44680</v>
      </c>
      <c r="J381" s="9">
        <v>186.20996441281136</v>
      </c>
      <c r="K381" s="9">
        <v>117.11318516529016</v>
      </c>
      <c r="N381" s="10"/>
      <c r="O381" s="10"/>
    </row>
    <row r="382" spans="1:15" x14ac:dyDescent="0.2">
      <c r="A382" s="6" t="s">
        <v>11</v>
      </c>
      <c r="B382" s="6" t="s">
        <v>330</v>
      </c>
      <c r="C382" s="9">
        <v>2020</v>
      </c>
      <c r="D382" s="6" t="s">
        <v>245</v>
      </c>
      <c r="E382" s="10">
        <v>12.13</v>
      </c>
      <c r="F382" s="10">
        <v>0.33561264822134385</v>
      </c>
      <c r="G382" s="9">
        <v>11.546498270414244</v>
      </c>
      <c r="H382" s="11">
        <v>43984</v>
      </c>
      <c r="I382" s="11">
        <v>44292</v>
      </c>
      <c r="J382" s="9">
        <v>234.94391885604389</v>
      </c>
      <c r="K382" s="9">
        <v>187.95513508483512</v>
      </c>
      <c r="N382" s="10"/>
      <c r="O382" s="10"/>
    </row>
    <row r="383" spans="1:15" x14ac:dyDescent="0.2">
      <c r="A383" s="6" t="s">
        <v>13</v>
      </c>
      <c r="B383" s="6" t="s">
        <v>331</v>
      </c>
      <c r="C383" s="9">
        <v>2022</v>
      </c>
      <c r="D383" s="6" t="s">
        <v>241</v>
      </c>
      <c r="E383" s="10">
        <v>8.86</v>
      </c>
      <c r="F383" s="10">
        <v>0.53008547008547002</v>
      </c>
      <c r="G383" s="9">
        <v>11.45442792501616</v>
      </c>
      <c r="H383" s="11">
        <v>44714</v>
      </c>
      <c r="I383" s="11">
        <v>44886</v>
      </c>
      <c r="J383" s="9">
        <v>311.17816091954023</v>
      </c>
      <c r="K383" s="9">
        <v>129.65756704980845</v>
      </c>
      <c r="N383" s="10"/>
      <c r="O383" s="10"/>
    </row>
    <row r="384" spans="1:15" x14ac:dyDescent="0.2">
      <c r="A384" s="6" t="s">
        <v>11</v>
      </c>
      <c r="B384" s="6" t="s">
        <v>332</v>
      </c>
      <c r="C384" s="9">
        <v>2019</v>
      </c>
      <c r="D384" s="6" t="s">
        <v>245</v>
      </c>
      <c r="E384" s="10">
        <v>7.0936666666666675</v>
      </c>
      <c r="F384" s="10">
        <v>0.23758692185007976</v>
      </c>
      <c r="G384" s="9">
        <v>11.429777341778442</v>
      </c>
      <c r="H384" s="11">
        <v>43720</v>
      </c>
      <c r="I384" s="11">
        <v>43983</v>
      </c>
      <c r="J384" s="9">
        <v>165.1867841142824</v>
      </c>
      <c r="K384" s="9" t="s">
        <v>390</v>
      </c>
      <c r="N384" s="10"/>
      <c r="O384" s="10"/>
    </row>
    <row r="385" spans="1:15" x14ac:dyDescent="0.2">
      <c r="A385" s="6" t="s">
        <v>11</v>
      </c>
      <c r="B385" s="6" t="s">
        <v>333</v>
      </c>
      <c r="C385" s="9">
        <v>2017</v>
      </c>
      <c r="D385" s="6" t="s">
        <v>241</v>
      </c>
      <c r="E385" s="10">
        <v>9.9901343101343105</v>
      </c>
      <c r="F385" s="10">
        <v>0.31786790986790991</v>
      </c>
      <c r="G385" s="9">
        <v>11.244447428893634</v>
      </c>
      <c r="H385" s="11">
        <v>42985</v>
      </c>
      <c r="I385" s="11">
        <v>43265</v>
      </c>
      <c r="J385" s="9">
        <v>222.11261098664014</v>
      </c>
      <c r="K385" s="9" t="s">
        <v>390</v>
      </c>
      <c r="N385" s="10"/>
      <c r="O385" s="10"/>
    </row>
    <row r="386" spans="1:15" x14ac:dyDescent="0.2">
      <c r="A386" s="6" t="s">
        <v>11</v>
      </c>
      <c r="B386" s="6" t="s">
        <v>334</v>
      </c>
      <c r="C386" s="9">
        <v>2020</v>
      </c>
      <c r="D386" s="6" t="s">
        <v>245</v>
      </c>
      <c r="E386" s="10">
        <v>12.74</v>
      </c>
      <c r="F386" s="10">
        <v>0.36399999999999999</v>
      </c>
      <c r="G386" s="9">
        <v>11.193006908305234</v>
      </c>
      <c r="H386" s="11">
        <v>44042</v>
      </c>
      <c r="I386" s="11">
        <v>44369</v>
      </c>
      <c r="J386" s="9">
        <v>225.70750020627628</v>
      </c>
      <c r="K386" s="9">
        <v>100.31444453612279</v>
      </c>
      <c r="N386" s="10"/>
      <c r="O386" s="10"/>
    </row>
    <row r="387" spans="1:15" x14ac:dyDescent="0.2">
      <c r="A387" s="6" t="s">
        <v>11</v>
      </c>
      <c r="B387" s="6" t="s">
        <v>335</v>
      </c>
      <c r="C387" s="9">
        <v>2020</v>
      </c>
      <c r="D387" s="6" t="s">
        <v>245</v>
      </c>
      <c r="E387" s="10">
        <v>13.51</v>
      </c>
      <c r="F387" s="10">
        <v>0.34140794223826715</v>
      </c>
      <c r="G387" s="9">
        <v>11.165638658354872</v>
      </c>
      <c r="H387" s="11">
        <v>44042</v>
      </c>
      <c r="I387" s="11">
        <v>44382</v>
      </c>
      <c r="J387" s="9">
        <v>235.27041531823082</v>
      </c>
      <c r="K387" s="9">
        <v>94.108166127292321</v>
      </c>
      <c r="N387" s="10"/>
      <c r="O387" s="10"/>
    </row>
    <row r="388" spans="1:15" x14ac:dyDescent="0.2">
      <c r="A388" s="6" t="s">
        <v>11</v>
      </c>
      <c r="B388" s="6" t="s">
        <v>336</v>
      </c>
      <c r="C388" s="9">
        <v>2020</v>
      </c>
      <c r="D388" s="6" t="s">
        <v>245</v>
      </c>
      <c r="E388" s="10">
        <v>12.63</v>
      </c>
      <c r="F388" s="10">
        <v>0.33236842105263159</v>
      </c>
      <c r="G388" s="9">
        <v>11.096363991514531</v>
      </c>
      <c r="H388" s="11">
        <v>44042</v>
      </c>
      <c r="I388" s="11">
        <v>44369</v>
      </c>
      <c r="J388" s="9">
        <v>225.70750020627628</v>
      </c>
      <c r="K388" s="9">
        <v>100.31444453612279</v>
      </c>
      <c r="N388" s="10"/>
      <c r="O388" s="10"/>
    </row>
    <row r="389" spans="1:15" x14ac:dyDescent="0.2">
      <c r="A389" s="6" t="s">
        <v>15</v>
      </c>
      <c r="B389" s="6" t="s">
        <v>337</v>
      </c>
      <c r="C389" s="9">
        <v>2024</v>
      </c>
      <c r="D389" s="6" t="s">
        <v>241</v>
      </c>
      <c r="E389" s="10">
        <v>13.95</v>
      </c>
      <c r="F389" s="10">
        <v>0.42272727272727273</v>
      </c>
      <c r="G389" s="9">
        <v>11.011129528771017</v>
      </c>
      <c r="H389" s="11">
        <v>45434</v>
      </c>
      <c r="I389" s="11">
        <v>45714</v>
      </c>
      <c r="J389" s="9">
        <v>284.24038461538464</v>
      </c>
      <c r="K389" s="9">
        <v>169.19070512820514</v>
      </c>
      <c r="N389" s="10"/>
      <c r="O389" s="10"/>
    </row>
    <row r="390" spans="1:15" x14ac:dyDescent="0.2">
      <c r="A390" s="6" t="s">
        <v>14</v>
      </c>
      <c r="B390" s="6" t="s">
        <v>338</v>
      </c>
      <c r="C390" s="9">
        <v>2023</v>
      </c>
      <c r="D390" s="6" t="s">
        <v>245</v>
      </c>
      <c r="E390" s="10">
        <v>4.03</v>
      </c>
      <c r="F390" s="10">
        <v>0.23314049586776861</v>
      </c>
      <c r="G390" s="9">
        <v>10.960021756867011</v>
      </c>
      <c r="H390" s="11">
        <v>45175</v>
      </c>
      <c r="I390" s="11">
        <v>45354</v>
      </c>
      <c r="J390" s="9">
        <v>145.4180790960452</v>
      </c>
      <c r="K390" s="9">
        <v>242.36346516007535</v>
      </c>
      <c r="N390" s="10"/>
      <c r="O390" s="10"/>
    </row>
    <row r="391" spans="1:15" x14ac:dyDescent="0.2">
      <c r="A391" s="6" t="s">
        <v>13</v>
      </c>
      <c r="B391" s="6" t="s">
        <v>339</v>
      </c>
      <c r="C391" s="9">
        <v>2021</v>
      </c>
      <c r="D391" s="6" t="s">
        <v>245</v>
      </c>
      <c r="E391" s="10">
        <v>7.3</v>
      </c>
      <c r="F391" s="10">
        <v>0.24218009478672986</v>
      </c>
      <c r="G391" s="9">
        <v>10.915071770334928</v>
      </c>
      <c r="H391" s="11">
        <v>44429</v>
      </c>
      <c r="I391" s="11">
        <v>44698</v>
      </c>
      <c r="J391" s="9">
        <v>166.01418439716312</v>
      </c>
      <c r="K391" s="9">
        <v>83.00709219858156</v>
      </c>
      <c r="N391" s="10"/>
      <c r="O391" s="10"/>
    </row>
    <row r="392" spans="1:15" x14ac:dyDescent="0.2">
      <c r="A392" s="6" t="s">
        <v>13</v>
      </c>
      <c r="B392" s="6" t="s">
        <v>340</v>
      </c>
      <c r="C392" s="9">
        <v>2022</v>
      </c>
      <c r="D392" s="6" t="s">
        <v>241</v>
      </c>
      <c r="E392" s="10">
        <v>5.03</v>
      </c>
      <c r="F392" s="10">
        <v>0.23013071895424836</v>
      </c>
      <c r="G392" s="9">
        <v>10.833512814990309</v>
      </c>
      <c r="H392" s="11">
        <v>44810</v>
      </c>
      <c r="I392" s="11">
        <v>45015</v>
      </c>
      <c r="J392" s="9">
        <v>143.80973451327435</v>
      </c>
      <c r="K392" s="9">
        <v>71.904867256637175</v>
      </c>
      <c r="N392" s="10"/>
      <c r="O392" s="10"/>
    </row>
    <row r="393" spans="1:15" x14ac:dyDescent="0.2">
      <c r="A393" s="6" t="s">
        <v>11</v>
      </c>
      <c r="B393" s="6" t="s">
        <v>341</v>
      </c>
      <c r="C393" s="9">
        <v>2020</v>
      </c>
      <c r="D393" s="6" t="s">
        <v>241</v>
      </c>
      <c r="E393" s="10">
        <v>12.92</v>
      </c>
      <c r="F393" s="10">
        <v>0.35747035573122526</v>
      </c>
      <c r="G393" s="9">
        <v>10.791970992367014</v>
      </c>
      <c r="H393" s="11">
        <v>43994</v>
      </c>
      <c r="I393" s="11">
        <v>44314</v>
      </c>
      <c r="J393" s="9">
        <v>258.65136467338914</v>
      </c>
      <c r="K393" s="9">
        <v>206.92109173871131</v>
      </c>
      <c r="N393" s="10"/>
      <c r="O393" s="10"/>
    </row>
    <row r="394" spans="1:15" x14ac:dyDescent="0.2">
      <c r="A394" s="6" t="s">
        <v>15</v>
      </c>
      <c r="B394" s="6" t="s">
        <v>342</v>
      </c>
      <c r="C394" s="9">
        <v>2024</v>
      </c>
      <c r="D394" s="6" t="s">
        <v>241</v>
      </c>
      <c r="E394" s="10">
        <v>11.31</v>
      </c>
      <c r="F394" s="10">
        <v>0.35662162162162164</v>
      </c>
      <c r="G394" s="9">
        <v>10.560224089635854</v>
      </c>
      <c r="H394" s="11">
        <v>45434</v>
      </c>
      <c r="I394" s="11">
        <v>45712</v>
      </c>
      <c r="J394" s="9">
        <v>240.28846153846155</v>
      </c>
      <c r="K394" s="9">
        <v>143.02884615384616</v>
      </c>
      <c r="N394" s="10"/>
      <c r="O394" s="10"/>
    </row>
    <row r="395" spans="1:15" x14ac:dyDescent="0.2">
      <c r="A395" s="6" t="s">
        <v>11</v>
      </c>
      <c r="B395" s="6" t="s">
        <v>343</v>
      </c>
      <c r="C395" s="9">
        <v>2020</v>
      </c>
      <c r="D395" s="6" t="s">
        <v>245</v>
      </c>
      <c r="E395" s="10">
        <v>11.54</v>
      </c>
      <c r="F395" s="10">
        <v>0.32055555555555554</v>
      </c>
      <c r="G395" s="9">
        <v>10.344639750777478</v>
      </c>
      <c r="H395" s="11">
        <v>43994</v>
      </c>
      <c r="I395" s="11">
        <v>44315</v>
      </c>
      <c r="J395" s="9">
        <v>241.01466427149634</v>
      </c>
      <c r="K395" s="9">
        <v>192.81173141719708</v>
      </c>
      <c r="N395" s="10"/>
      <c r="O395" s="10"/>
    </row>
    <row r="396" spans="1:15" x14ac:dyDescent="0.2">
      <c r="A396" s="6" t="s">
        <v>11</v>
      </c>
      <c r="B396" s="6" t="s">
        <v>344</v>
      </c>
      <c r="C396" s="9">
        <v>2018</v>
      </c>
      <c r="D396" s="6" t="s">
        <v>241</v>
      </c>
      <c r="E396" s="10">
        <v>10.411316239316241</v>
      </c>
      <c r="F396" s="10">
        <v>0.24788848188848192</v>
      </c>
      <c r="G396" s="9">
        <v>10.155580091711451</v>
      </c>
      <c r="H396" s="11">
        <v>43334</v>
      </c>
      <c r="I396" s="11">
        <v>43679</v>
      </c>
      <c r="J396" s="9">
        <v>208.00790865873176</v>
      </c>
      <c r="K396" s="9" t="s">
        <v>390</v>
      </c>
      <c r="N396" s="10"/>
      <c r="O396" s="10"/>
    </row>
    <row r="397" spans="1:15" x14ac:dyDescent="0.2">
      <c r="A397" s="6" t="s">
        <v>11</v>
      </c>
      <c r="B397" s="6" t="s">
        <v>345</v>
      </c>
      <c r="C397" s="9">
        <v>2019</v>
      </c>
      <c r="D397" s="6" t="s">
        <v>245</v>
      </c>
      <c r="E397" s="10">
        <v>9.3449230769230756</v>
      </c>
      <c r="F397" s="10">
        <v>0.30284472934472928</v>
      </c>
      <c r="G397" s="9">
        <v>9.8419051494169558</v>
      </c>
      <c r="H397" s="11">
        <v>43608</v>
      </c>
      <c r="I397" s="11">
        <v>43901</v>
      </c>
      <c r="J397" s="9">
        <v>226.8438320867825</v>
      </c>
      <c r="K397" s="9" t="s">
        <v>390</v>
      </c>
      <c r="N397" s="10"/>
      <c r="O397" s="10"/>
    </row>
    <row r="398" spans="1:15" x14ac:dyDescent="0.2">
      <c r="A398" s="6" t="s">
        <v>15</v>
      </c>
      <c r="B398" s="6" t="s">
        <v>346</v>
      </c>
      <c r="C398" s="9">
        <v>2024</v>
      </c>
      <c r="D398" s="6" t="s">
        <v>241</v>
      </c>
      <c r="E398" s="10">
        <v>17.3</v>
      </c>
      <c r="F398" s="10">
        <v>0.63736842105263158</v>
      </c>
      <c r="G398" s="9">
        <v>9.816716790557793</v>
      </c>
      <c r="H398" s="11">
        <v>45302</v>
      </c>
      <c r="I398" s="11">
        <v>45567</v>
      </c>
      <c r="J398" s="9">
        <v>440.57499999999999</v>
      </c>
      <c r="K398" s="9">
        <v>195.8111111111111</v>
      </c>
      <c r="N398" s="10"/>
      <c r="O398" s="10"/>
    </row>
    <row r="399" spans="1:15" x14ac:dyDescent="0.2">
      <c r="A399" s="6" t="s">
        <v>13</v>
      </c>
      <c r="B399" s="6" t="s">
        <v>347</v>
      </c>
      <c r="C399" s="9">
        <v>2022</v>
      </c>
      <c r="D399" s="6" t="s">
        <v>241</v>
      </c>
      <c r="E399" s="10">
        <v>4.75</v>
      </c>
      <c r="F399" s="10">
        <v>0.24813432835820895</v>
      </c>
      <c r="G399" s="9">
        <v>9.5843422114608554</v>
      </c>
      <c r="H399" s="11">
        <v>44811</v>
      </c>
      <c r="I399" s="11">
        <v>45008</v>
      </c>
      <c r="J399" s="9">
        <v>156.97737556561086</v>
      </c>
      <c r="K399" s="9">
        <v>78.488687782805428</v>
      </c>
      <c r="N399" s="10"/>
      <c r="O399" s="10"/>
    </row>
    <row r="400" spans="1:15" x14ac:dyDescent="0.2">
      <c r="A400" s="6" t="s">
        <v>13</v>
      </c>
      <c r="B400" s="6" t="s">
        <v>348</v>
      </c>
      <c r="C400" s="9">
        <v>2024</v>
      </c>
      <c r="D400" s="6" t="s">
        <v>245</v>
      </c>
      <c r="E400" s="10">
        <v>5</v>
      </c>
      <c r="F400" s="10">
        <v>0.24647887323943662</v>
      </c>
      <c r="G400" s="9">
        <v>9.5322826639552627</v>
      </c>
      <c r="H400" s="11">
        <v>45535</v>
      </c>
      <c r="I400" s="11">
        <v>45751</v>
      </c>
      <c r="J400" s="9">
        <v>157.58512160228898</v>
      </c>
      <c r="K400" s="9">
        <v>78.792560801144489</v>
      </c>
      <c r="N400" s="10"/>
      <c r="O400" s="10"/>
    </row>
    <row r="401" spans="1:15" x14ac:dyDescent="0.2">
      <c r="A401" s="6" t="s">
        <v>13</v>
      </c>
      <c r="B401" s="6" t="s">
        <v>339</v>
      </c>
      <c r="C401" s="9">
        <v>2023</v>
      </c>
      <c r="D401" s="6" t="s">
        <v>245</v>
      </c>
      <c r="E401" s="10">
        <v>15.83</v>
      </c>
      <c r="F401" s="10">
        <v>0.3597727272727273</v>
      </c>
      <c r="G401" s="9">
        <v>9.5132211538461533</v>
      </c>
      <c r="H401" s="11">
        <v>44909</v>
      </c>
      <c r="I401" s="11">
        <v>45299</v>
      </c>
      <c r="J401" s="9">
        <v>261.1659192825112</v>
      </c>
      <c r="K401" s="9">
        <v>130.5829596412556</v>
      </c>
      <c r="N401" s="10"/>
      <c r="O401" s="10"/>
    </row>
    <row r="402" spans="1:15" x14ac:dyDescent="0.2">
      <c r="A402" s="6" t="s">
        <v>11</v>
      </c>
      <c r="B402" s="6" t="s">
        <v>349</v>
      </c>
      <c r="C402" s="9">
        <v>2017</v>
      </c>
      <c r="D402" s="6" t="s">
        <v>245</v>
      </c>
      <c r="E402" s="10">
        <v>6.1576410256410261</v>
      </c>
      <c r="F402" s="10">
        <v>0.2644385716532956</v>
      </c>
      <c r="G402" s="9">
        <v>9.5105482224255162</v>
      </c>
      <c r="H402" s="11">
        <v>42951</v>
      </c>
      <c r="I402" s="11">
        <v>43173</v>
      </c>
      <c r="J402" s="9">
        <v>204.15211365211366</v>
      </c>
      <c r="K402" s="9" t="s">
        <v>390</v>
      </c>
      <c r="N402" s="10"/>
      <c r="O402" s="10"/>
    </row>
    <row r="403" spans="1:15" x14ac:dyDescent="0.2">
      <c r="A403" s="6" t="s">
        <v>13</v>
      </c>
      <c r="B403" s="6" t="s">
        <v>350</v>
      </c>
      <c r="C403" s="9">
        <v>2022</v>
      </c>
      <c r="D403" s="6" t="s">
        <v>241</v>
      </c>
      <c r="E403" s="10">
        <v>4.8</v>
      </c>
      <c r="F403" s="10">
        <v>0.2507462686567164</v>
      </c>
      <c r="G403" s="9">
        <v>9.4730609828300771</v>
      </c>
      <c r="H403" s="11">
        <v>44811</v>
      </c>
      <c r="I403" s="11">
        <v>45008</v>
      </c>
      <c r="J403" s="9">
        <v>160.49321266968326</v>
      </c>
      <c r="K403" s="9">
        <v>80.24660633484163</v>
      </c>
      <c r="N403" s="10"/>
      <c r="O403" s="10"/>
    </row>
    <row r="404" spans="1:15" x14ac:dyDescent="0.2">
      <c r="A404" s="6" t="s">
        <v>11</v>
      </c>
      <c r="B404" s="6" t="s">
        <v>351</v>
      </c>
      <c r="C404" s="9">
        <v>2019</v>
      </c>
      <c r="D404" s="6" t="s">
        <v>245</v>
      </c>
      <c r="E404" s="10">
        <v>8.98</v>
      </c>
      <c r="F404" s="10">
        <v>0.32402061855670106</v>
      </c>
      <c r="G404" s="9">
        <v>9.4575747188348718</v>
      </c>
      <c r="H404" s="11">
        <v>43608</v>
      </c>
      <c r="I404" s="11">
        <v>43894</v>
      </c>
      <c r="J404" s="9">
        <v>232.3959538511443</v>
      </c>
      <c r="K404" s="9" t="s">
        <v>390</v>
      </c>
      <c r="N404" s="10"/>
      <c r="O404" s="10"/>
    </row>
    <row r="405" spans="1:15" x14ac:dyDescent="0.2">
      <c r="A405" s="6" t="s">
        <v>18</v>
      </c>
      <c r="B405" s="6" t="s">
        <v>352</v>
      </c>
      <c r="C405" s="9">
        <v>2023</v>
      </c>
      <c r="D405" s="6" t="s">
        <v>245</v>
      </c>
      <c r="E405" s="10">
        <v>14.3</v>
      </c>
      <c r="F405" s="10">
        <v>0.6030120481927711</v>
      </c>
      <c r="G405" s="9">
        <v>9.4478804043692808</v>
      </c>
      <c r="H405" s="11">
        <v>44993</v>
      </c>
      <c r="I405" s="11">
        <v>45229</v>
      </c>
      <c r="J405" s="9">
        <v>371.75329824561402</v>
      </c>
      <c r="K405" s="9">
        <v>148.70131929824561</v>
      </c>
      <c r="N405" s="10"/>
      <c r="O405" s="10"/>
    </row>
    <row r="406" spans="1:15" x14ac:dyDescent="0.2">
      <c r="A406" s="6" t="s">
        <v>11</v>
      </c>
      <c r="B406" s="6" t="s">
        <v>268</v>
      </c>
      <c r="C406" s="9">
        <v>2017</v>
      </c>
      <c r="D406" s="6" t="s">
        <v>245</v>
      </c>
      <c r="E406" s="10">
        <v>8.3658974358974323</v>
      </c>
      <c r="F406" s="10">
        <v>0.26618764568764558</v>
      </c>
      <c r="G406" s="9">
        <v>9.4162792003744364</v>
      </c>
      <c r="H406" s="11">
        <v>42985</v>
      </c>
      <c r="I406" s="11">
        <v>43265</v>
      </c>
      <c r="J406" s="9">
        <v>222.11261098664014</v>
      </c>
      <c r="K406" s="9" t="s">
        <v>390</v>
      </c>
      <c r="N406" s="10"/>
      <c r="O406" s="10"/>
    </row>
    <row r="407" spans="1:15" x14ac:dyDescent="0.2">
      <c r="A407" s="6" t="s">
        <v>13</v>
      </c>
      <c r="B407" s="6" t="s">
        <v>339</v>
      </c>
      <c r="C407" s="9">
        <v>2024</v>
      </c>
      <c r="D407" s="6" t="s">
        <v>245</v>
      </c>
      <c r="E407" s="10">
        <v>15.9</v>
      </c>
      <c r="F407" s="10">
        <v>0.38916083916083921</v>
      </c>
      <c r="G407" s="9">
        <v>9.2543173718669927</v>
      </c>
      <c r="H407" s="11">
        <v>45343</v>
      </c>
      <c r="I407" s="11">
        <v>45698</v>
      </c>
      <c r="J407" s="9">
        <v>308.37997435897432</v>
      </c>
      <c r="K407" s="9">
        <v>128.49165598290597</v>
      </c>
      <c r="N407" s="10"/>
      <c r="O407" s="10"/>
    </row>
    <row r="408" spans="1:15" x14ac:dyDescent="0.2">
      <c r="A408" s="6" t="s">
        <v>18</v>
      </c>
      <c r="B408" s="6" t="s">
        <v>353</v>
      </c>
      <c r="C408" s="9">
        <v>2023</v>
      </c>
      <c r="D408" s="6" t="s">
        <v>241</v>
      </c>
      <c r="E408" s="10">
        <v>14.6</v>
      </c>
      <c r="F408" s="10">
        <v>0.56777777777777771</v>
      </c>
      <c r="G408" s="9">
        <v>9.2166014981396351</v>
      </c>
      <c r="H408" s="11">
        <v>44974</v>
      </c>
      <c r="I408" s="11">
        <v>45209</v>
      </c>
      <c r="J408" s="9">
        <v>389.07670175438597</v>
      </c>
      <c r="K408" s="9">
        <v>155.63068070175439</v>
      </c>
      <c r="N408" s="10"/>
      <c r="O408" s="10"/>
    </row>
    <row r="409" spans="1:15" x14ac:dyDescent="0.2">
      <c r="A409" s="6" t="s">
        <v>11</v>
      </c>
      <c r="B409" s="6" t="s">
        <v>354</v>
      </c>
      <c r="C409" s="9">
        <v>2017</v>
      </c>
      <c r="D409" s="6" t="s">
        <v>245</v>
      </c>
      <c r="E409" s="10">
        <v>8.576041290322582</v>
      </c>
      <c r="F409" s="10">
        <v>0.24704645692287272</v>
      </c>
      <c r="G409" s="9">
        <v>9.2116928112545402</v>
      </c>
      <c r="H409" s="11">
        <v>42974</v>
      </c>
      <c r="I409" s="11">
        <v>43278</v>
      </c>
      <c r="J409" s="9">
        <v>214.37388221768009</v>
      </c>
      <c r="K409" s="9" t="s">
        <v>390</v>
      </c>
      <c r="N409" s="10"/>
      <c r="O409" s="10"/>
    </row>
    <row r="410" spans="1:15" x14ac:dyDescent="0.2">
      <c r="A410" s="6" t="s">
        <v>11</v>
      </c>
      <c r="B410" s="6" t="s">
        <v>355</v>
      </c>
      <c r="C410" s="9">
        <v>2017</v>
      </c>
      <c r="D410" s="6" t="s">
        <v>241</v>
      </c>
      <c r="E410" s="10">
        <v>5.702560000000001</v>
      </c>
      <c r="F410" s="10">
        <v>0.25425426751592362</v>
      </c>
      <c r="G410" s="9">
        <v>9.1290593720857967</v>
      </c>
      <c r="H410" s="11">
        <v>42992</v>
      </c>
      <c r="I410" s="11">
        <v>43209</v>
      </c>
      <c r="J410" s="9">
        <v>201.5032884434701</v>
      </c>
      <c r="K410" s="9" t="s">
        <v>390</v>
      </c>
      <c r="N410" s="10"/>
      <c r="O410" s="10"/>
    </row>
    <row r="411" spans="1:15" x14ac:dyDescent="0.2">
      <c r="A411" s="6" t="s">
        <v>11</v>
      </c>
      <c r="B411" s="6" t="s">
        <v>356</v>
      </c>
      <c r="C411" s="9">
        <v>2017</v>
      </c>
      <c r="D411" s="6" t="s">
        <v>245</v>
      </c>
      <c r="E411" s="10">
        <v>5.2467863247863242</v>
      </c>
      <c r="F411" s="10">
        <v>0.2339331482388807</v>
      </c>
      <c r="G411" s="9">
        <v>8.9433272121820426</v>
      </c>
      <c r="H411" s="11">
        <v>42978</v>
      </c>
      <c r="I411" s="11">
        <v>43203</v>
      </c>
      <c r="J411" s="9">
        <v>182.51971380890473</v>
      </c>
      <c r="K411" s="9" t="s">
        <v>390</v>
      </c>
      <c r="N411" s="10"/>
      <c r="O411" s="10"/>
    </row>
    <row r="412" spans="1:15" x14ac:dyDescent="0.2">
      <c r="A412" s="6" t="s">
        <v>15</v>
      </c>
      <c r="B412" s="6" t="s">
        <v>346</v>
      </c>
      <c r="C412" s="9">
        <v>2023</v>
      </c>
      <c r="D412" s="6" t="s">
        <v>241</v>
      </c>
      <c r="E412" s="10">
        <v>16.16</v>
      </c>
      <c r="F412" s="10">
        <v>0.49614035087719299</v>
      </c>
      <c r="G412" s="9">
        <v>8.8654816765415845</v>
      </c>
      <c r="H412" s="11">
        <v>44909</v>
      </c>
      <c r="I412" s="11">
        <v>45226</v>
      </c>
      <c r="J412" s="9">
        <v>325.5</v>
      </c>
      <c r="K412" s="9">
        <v>144.66666666666666</v>
      </c>
      <c r="N412" s="10"/>
      <c r="O412" s="10"/>
    </row>
    <row r="413" spans="1:15" x14ac:dyDescent="0.2">
      <c r="A413" s="6" t="s">
        <v>11</v>
      </c>
      <c r="B413" s="6" t="s">
        <v>357</v>
      </c>
      <c r="C413" s="9">
        <v>2020</v>
      </c>
      <c r="D413" s="6" t="s">
        <v>245</v>
      </c>
      <c r="E413" s="10">
        <v>9.7899999999999991</v>
      </c>
      <c r="F413" s="10">
        <v>0.26874509803921565</v>
      </c>
      <c r="G413" s="9">
        <v>8.7759118856249145</v>
      </c>
      <c r="H413" s="11">
        <v>43994</v>
      </c>
      <c r="I413" s="11">
        <v>44315</v>
      </c>
      <c r="J413" s="9">
        <v>241.01466427149634</v>
      </c>
      <c r="K413" s="9">
        <v>192.81173141719708</v>
      </c>
      <c r="N413" s="10"/>
      <c r="O413" s="10"/>
    </row>
    <row r="414" spans="1:15" x14ac:dyDescent="0.2">
      <c r="A414" s="6" t="s">
        <v>11</v>
      </c>
      <c r="B414" s="6" t="s">
        <v>358</v>
      </c>
      <c r="C414" s="9">
        <v>2022</v>
      </c>
      <c r="D414" s="6" t="s">
        <v>241</v>
      </c>
      <c r="E414" s="10">
        <v>3.9540466448445168</v>
      </c>
      <c r="F414" s="10">
        <v>0.22687152880255426</v>
      </c>
      <c r="G414" s="9">
        <v>8.695945997018951</v>
      </c>
      <c r="H414" s="11">
        <v>44806</v>
      </c>
      <c r="I414" s="11">
        <v>44994</v>
      </c>
      <c r="J414" s="9">
        <v>134.29957805907173</v>
      </c>
      <c r="K414" s="9">
        <v>107.43966244725739</v>
      </c>
      <c r="N414" s="10"/>
      <c r="O414" s="10"/>
    </row>
    <row r="415" spans="1:15" x14ac:dyDescent="0.2">
      <c r="A415" s="6" t="s">
        <v>11</v>
      </c>
      <c r="B415" s="6" t="s">
        <v>359</v>
      </c>
      <c r="C415" s="9">
        <v>2017</v>
      </c>
      <c r="D415" s="6" t="s">
        <v>245</v>
      </c>
      <c r="E415" s="10">
        <v>7.6803846153846163</v>
      </c>
      <c r="F415" s="10">
        <v>0.24890135327635329</v>
      </c>
      <c r="G415" s="9">
        <v>8.6446966937939695</v>
      </c>
      <c r="H415" s="11">
        <v>42985</v>
      </c>
      <c r="I415" s="11">
        <v>43265</v>
      </c>
      <c r="J415" s="9">
        <v>222.11261098664014</v>
      </c>
      <c r="K415" s="9" t="s">
        <v>390</v>
      </c>
      <c r="N415" s="10"/>
      <c r="O415" s="10"/>
    </row>
    <row r="416" spans="1:15" x14ac:dyDescent="0.2">
      <c r="A416" s="6" t="s">
        <v>11</v>
      </c>
      <c r="B416" s="6" t="s">
        <v>360</v>
      </c>
      <c r="C416" s="9">
        <v>2020</v>
      </c>
      <c r="D416" s="6" t="s">
        <v>245</v>
      </c>
      <c r="E416" s="10">
        <v>9.83</v>
      </c>
      <c r="F416" s="10">
        <v>0.26878906250000001</v>
      </c>
      <c r="G416" s="9">
        <v>8.6363624732056881</v>
      </c>
      <c r="H416" s="11">
        <v>44042</v>
      </c>
      <c r="I416" s="11">
        <v>44361</v>
      </c>
      <c r="J416" s="9">
        <v>225.70750020627628</v>
      </c>
      <c r="K416" s="9">
        <v>100.31444453612279</v>
      </c>
      <c r="N416" s="10"/>
      <c r="O416" s="10"/>
    </row>
    <row r="417" spans="1:15" x14ac:dyDescent="0.2">
      <c r="A417" s="6" t="s">
        <v>14</v>
      </c>
      <c r="B417" s="6" t="s">
        <v>361</v>
      </c>
      <c r="C417" s="9">
        <v>2021</v>
      </c>
      <c r="D417" s="6" t="s">
        <v>245</v>
      </c>
      <c r="E417" s="10">
        <v>3.97</v>
      </c>
      <c r="F417" s="10">
        <v>0.19433566433566435</v>
      </c>
      <c r="G417" s="9">
        <v>8.5319988333358925</v>
      </c>
      <c r="H417" s="11">
        <v>44443</v>
      </c>
      <c r="I417" s="11">
        <v>44662</v>
      </c>
      <c r="J417" s="9">
        <v>144.1216814159292</v>
      </c>
      <c r="K417" s="9">
        <v>103.31303327306753</v>
      </c>
      <c r="N417" s="10"/>
      <c r="O417" s="10"/>
    </row>
    <row r="418" spans="1:15" x14ac:dyDescent="0.2">
      <c r="A418" s="6" t="s">
        <v>13</v>
      </c>
      <c r="B418" s="6" t="s">
        <v>362</v>
      </c>
      <c r="C418" s="9">
        <v>2022</v>
      </c>
      <c r="D418" s="6" t="s">
        <v>245</v>
      </c>
      <c r="E418" s="10">
        <v>4.5</v>
      </c>
      <c r="F418" s="10">
        <v>0.22992700729927004</v>
      </c>
      <c r="G418" s="9">
        <v>8.5130533484676505</v>
      </c>
      <c r="H418" s="11">
        <v>44810</v>
      </c>
      <c r="I418" s="11">
        <v>45006</v>
      </c>
      <c r="J418" s="9">
        <v>163.72566371681415</v>
      </c>
      <c r="K418" s="9">
        <v>81.862831858407077</v>
      </c>
      <c r="N418" s="10"/>
      <c r="O418" s="10"/>
    </row>
    <row r="419" spans="1:15" x14ac:dyDescent="0.2">
      <c r="A419" s="6" t="s">
        <v>11</v>
      </c>
      <c r="B419" s="6" t="s">
        <v>363</v>
      </c>
      <c r="C419" s="9">
        <v>2019</v>
      </c>
      <c r="D419" s="6" t="s">
        <v>245</v>
      </c>
      <c r="E419" s="10">
        <v>7.8467350427350429</v>
      </c>
      <c r="F419" s="10">
        <v>0.23777984977984978</v>
      </c>
      <c r="G419" s="9">
        <v>8.2640404193281292</v>
      </c>
      <c r="H419" s="11">
        <v>43608</v>
      </c>
      <c r="I419" s="11">
        <v>43916</v>
      </c>
      <c r="J419" s="9">
        <v>215.79624286177685</v>
      </c>
      <c r="K419" s="9" t="s">
        <v>390</v>
      </c>
      <c r="N419" s="10"/>
      <c r="O419" s="10"/>
    </row>
    <row r="420" spans="1:15" x14ac:dyDescent="0.2">
      <c r="A420" s="6" t="s">
        <v>11</v>
      </c>
      <c r="B420" s="6" t="s">
        <v>364</v>
      </c>
      <c r="C420" s="9">
        <v>2020</v>
      </c>
      <c r="D420" s="6" t="s">
        <v>245</v>
      </c>
      <c r="E420" s="10">
        <v>9.51</v>
      </c>
      <c r="F420" s="10">
        <v>0.26208661417322837</v>
      </c>
      <c r="G420" s="9">
        <v>7.9436257072299004</v>
      </c>
      <c r="H420" s="11">
        <v>43994</v>
      </c>
      <c r="I420" s="11">
        <v>44314</v>
      </c>
      <c r="J420" s="9">
        <v>258.65136467338914</v>
      </c>
      <c r="K420" s="9">
        <v>206.92109173871131</v>
      </c>
      <c r="N420" s="10"/>
      <c r="O420" s="10"/>
    </row>
    <row r="421" spans="1:15" x14ac:dyDescent="0.2">
      <c r="A421" s="6" t="s">
        <v>11</v>
      </c>
      <c r="B421" s="6" t="s">
        <v>365</v>
      </c>
      <c r="C421" s="9">
        <v>2019</v>
      </c>
      <c r="D421" s="6" t="s">
        <v>241</v>
      </c>
      <c r="E421" s="10">
        <v>7.3696866096866103</v>
      </c>
      <c r="F421" s="10">
        <v>0.23133545411572318</v>
      </c>
      <c r="G421" s="9">
        <v>7.7616215774507751</v>
      </c>
      <c r="H421" s="11">
        <v>43608</v>
      </c>
      <c r="I421" s="11">
        <v>43908</v>
      </c>
      <c r="J421" s="9">
        <v>221.55080933809091</v>
      </c>
      <c r="K421" s="9" t="s">
        <v>390</v>
      </c>
    </row>
    <row r="422" spans="1:15" x14ac:dyDescent="0.2">
      <c r="A422" s="6" t="s">
        <v>14</v>
      </c>
      <c r="B422" s="6" t="s">
        <v>366</v>
      </c>
      <c r="C422" s="9">
        <v>2021</v>
      </c>
      <c r="D422" s="6" t="s">
        <v>241</v>
      </c>
      <c r="E422" s="10">
        <v>4.3</v>
      </c>
      <c r="F422" s="10">
        <v>0.25948275862068965</v>
      </c>
      <c r="G422" s="9">
        <v>7.7434873348318654</v>
      </c>
      <c r="H422" s="11">
        <v>44455</v>
      </c>
      <c r="I422" s="11">
        <v>44666</v>
      </c>
      <c r="J422" s="9">
        <v>172.76166666666666</v>
      </c>
      <c r="K422" s="9">
        <v>112.00108049702862</v>
      </c>
      <c r="N422" s="10"/>
      <c r="O422" s="10"/>
    </row>
    <row r="423" spans="1:15" x14ac:dyDescent="0.2">
      <c r="A423" s="6" t="s">
        <v>18</v>
      </c>
      <c r="B423" s="6" t="s">
        <v>367</v>
      </c>
      <c r="C423" s="9">
        <v>2022</v>
      </c>
      <c r="D423" s="6" t="s">
        <v>241</v>
      </c>
      <c r="E423" s="10">
        <v>2.7</v>
      </c>
      <c r="F423" s="10">
        <v>0.27</v>
      </c>
      <c r="G423" s="9">
        <v>7.701698937736043</v>
      </c>
      <c r="H423" s="11">
        <v>44806</v>
      </c>
      <c r="I423" s="11">
        <v>44938</v>
      </c>
      <c r="J423" s="9">
        <v>185.90939393939394</v>
      </c>
      <c r="K423" s="9">
        <v>123.93959595959596</v>
      </c>
      <c r="N423" s="10"/>
      <c r="O423" s="10"/>
    </row>
    <row r="424" spans="1:15" x14ac:dyDescent="0.2">
      <c r="A424" s="6" t="s">
        <v>17</v>
      </c>
      <c r="B424" s="6" t="s">
        <v>368</v>
      </c>
      <c r="C424" s="9">
        <v>2023</v>
      </c>
      <c r="D424" s="6" t="s">
        <v>245</v>
      </c>
      <c r="E424" s="10">
        <v>12.47</v>
      </c>
      <c r="F424" s="10">
        <v>0.41566666666666668</v>
      </c>
      <c r="G424" s="9">
        <v>7.6587642795725337</v>
      </c>
      <c r="H424" s="11">
        <v>44972</v>
      </c>
      <c r="I424" s="11">
        <v>45257</v>
      </c>
      <c r="J424" s="9">
        <v>322.87252124645892</v>
      </c>
      <c r="K424" s="9">
        <v>126.61667499861134</v>
      </c>
      <c r="N424" s="10"/>
      <c r="O424" s="10"/>
    </row>
    <row r="425" spans="1:15" x14ac:dyDescent="0.2">
      <c r="A425" s="6" t="s">
        <v>11</v>
      </c>
      <c r="B425" s="6" t="s">
        <v>369</v>
      </c>
      <c r="C425" s="9">
        <v>2019</v>
      </c>
      <c r="D425" s="6" t="s">
        <v>245</v>
      </c>
      <c r="E425" s="10">
        <v>6.9266666666666676</v>
      </c>
      <c r="F425" s="10">
        <v>0.22447530864197535</v>
      </c>
      <c r="G425" s="9">
        <v>7.2950409301183612</v>
      </c>
      <c r="H425" s="11">
        <v>43608</v>
      </c>
      <c r="I425" s="11">
        <v>43901</v>
      </c>
      <c r="J425" s="9">
        <v>226.8438320867825</v>
      </c>
      <c r="K425" s="9" t="s">
        <v>390</v>
      </c>
      <c r="N425" s="10"/>
      <c r="O425" s="10"/>
    </row>
    <row r="426" spans="1:15" x14ac:dyDescent="0.2">
      <c r="A426" s="6" t="s">
        <v>11</v>
      </c>
      <c r="B426" s="6" t="s">
        <v>370</v>
      </c>
      <c r="C426" s="9">
        <v>2022</v>
      </c>
      <c r="D426" s="6" t="s">
        <v>245</v>
      </c>
      <c r="E426" s="10">
        <v>3.8577966756861226</v>
      </c>
      <c r="F426" s="10">
        <v>0.2195494043073403</v>
      </c>
      <c r="G426" s="9">
        <v>7.2583192392965623</v>
      </c>
      <c r="H426" s="11">
        <v>44806</v>
      </c>
      <c r="I426" s="11">
        <v>44995</v>
      </c>
      <c r="J426" s="9">
        <v>156.98312236286921</v>
      </c>
      <c r="K426" s="9">
        <v>125.58649789029536</v>
      </c>
      <c r="N426" s="10"/>
      <c r="O426" s="10"/>
    </row>
    <row r="427" spans="1:15" x14ac:dyDescent="0.2">
      <c r="A427" s="6" t="s">
        <v>15</v>
      </c>
      <c r="B427" s="6" t="s">
        <v>371</v>
      </c>
      <c r="C427" s="9">
        <v>2024</v>
      </c>
      <c r="D427" s="6" t="s">
        <v>241</v>
      </c>
      <c r="E427" s="10">
        <v>9.73</v>
      </c>
      <c r="F427" s="10">
        <v>0.30680180180180183</v>
      </c>
      <c r="G427" s="9">
        <v>7.1544117647058822</v>
      </c>
      <c r="H427" s="11">
        <v>45434</v>
      </c>
      <c r="I427" s="11">
        <v>45712</v>
      </c>
      <c r="J427" s="9">
        <v>305.12820512820514</v>
      </c>
      <c r="K427" s="9">
        <v>181.62393162393164</v>
      </c>
      <c r="N427" s="10"/>
      <c r="O427" s="10"/>
    </row>
    <row r="428" spans="1:15" x14ac:dyDescent="0.2">
      <c r="A428" s="6" t="s">
        <v>12</v>
      </c>
      <c r="B428" s="6" t="s">
        <v>372</v>
      </c>
      <c r="C428" s="9">
        <v>2021</v>
      </c>
      <c r="D428" s="6" t="s">
        <v>241</v>
      </c>
      <c r="E428" s="10">
        <v>4.42</v>
      </c>
      <c r="F428" s="10">
        <v>0.12475806451612902</v>
      </c>
      <c r="G428" s="9">
        <v>6.8537757791905722</v>
      </c>
      <c r="H428" s="11">
        <v>44344</v>
      </c>
      <c r="I428" s="11">
        <v>44658</v>
      </c>
      <c r="J428" s="9">
        <v>137.63109756097563</v>
      </c>
      <c r="K428" s="9" t="s">
        <v>390</v>
      </c>
      <c r="N428" s="10"/>
      <c r="O428" s="10"/>
    </row>
    <row r="429" spans="1:15" x14ac:dyDescent="0.2">
      <c r="A429" s="6" t="s">
        <v>11</v>
      </c>
      <c r="B429" s="6" t="s">
        <v>280</v>
      </c>
      <c r="C429" s="9">
        <v>2022</v>
      </c>
      <c r="D429" s="6" t="s">
        <v>241</v>
      </c>
      <c r="E429" s="10">
        <v>3.533767290480065</v>
      </c>
      <c r="F429" s="10">
        <v>0.21509887855096049</v>
      </c>
      <c r="G429" s="9">
        <v>6.8523701579989629</v>
      </c>
      <c r="H429" s="11">
        <v>44806</v>
      </c>
      <c r="I429" s="11">
        <v>44987</v>
      </c>
      <c r="J429" s="9">
        <v>152.31645569620255</v>
      </c>
      <c r="K429" s="9">
        <v>121.85316455696204</v>
      </c>
      <c r="N429" s="10"/>
      <c r="O429" s="10"/>
    </row>
    <row r="430" spans="1:15" x14ac:dyDescent="0.2">
      <c r="A430" s="6" t="s">
        <v>11</v>
      </c>
      <c r="B430" s="6" t="s">
        <v>283</v>
      </c>
      <c r="C430" s="9">
        <v>2022</v>
      </c>
      <c r="D430" s="6" t="s">
        <v>241</v>
      </c>
      <c r="E430" s="10">
        <v>3.2260445592508877</v>
      </c>
      <c r="F430" s="10">
        <v>0.18359603182728629</v>
      </c>
      <c r="G430" s="9">
        <v>6.6777987150711811</v>
      </c>
      <c r="H430" s="11">
        <v>44806</v>
      </c>
      <c r="I430" s="11">
        <v>44995</v>
      </c>
      <c r="J430" s="9">
        <v>142.68776371308019</v>
      </c>
      <c r="K430" s="9">
        <v>114.15021097046414</v>
      </c>
      <c r="N430" s="10"/>
      <c r="O430" s="10"/>
    </row>
    <row r="431" spans="1:15" x14ac:dyDescent="0.2">
      <c r="A431" s="6" t="s">
        <v>11</v>
      </c>
      <c r="B431" s="6" t="s">
        <v>373</v>
      </c>
      <c r="C431" s="9">
        <v>2019</v>
      </c>
      <c r="D431" s="6" t="s">
        <v>245</v>
      </c>
      <c r="E431" s="10">
        <v>6.2616923076923072</v>
      </c>
      <c r="F431" s="10">
        <v>0.20292521367521366</v>
      </c>
      <c r="G431" s="9">
        <v>6.5947018782130904</v>
      </c>
      <c r="H431" s="11">
        <v>43608</v>
      </c>
      <c r="I431" s="11">
        <v>43901</v>
      </c>
      <c r="J431" s="9">
        <v>226.8438320867825</v>
      </c>
      <c r="K431" s="9" t="s">
        <v>390</v>
      </c>
      <c r="N431" s="10"/>
      <c r="O431" s="10"/>
    </row>
    <row r="432" spans="1:15" x14ac:dyDescent="0.2">
      <c r="A432" s="6" t="s">
        <v>17</v>
      </c>
      <c r="B432" s="6" t="s">
        <v>374</v>
      </c>
      <c r="C432" s="9">
        <v>2023</v>
      </c>
      <c r="D432" s="6" t="s">
        <v>245</v>
      </c>
      <c r="E432" s="10">
        <v>5.75</v>
      </c>
      <c r="F432" s="10">
        <v>0.23816568047337278</v>
      </c>
      <c r="G432" s="9">
        <v>6.3165989234318358</v>
      </c>
      <c r="H432" s="11">
        <v>45086</v>
      </c>
      <c r="I432" s="11">
        <v>45307</v>
      </c>
      <c r="J432" s="9">
        <v>265.50416666666666</v>
      </c>
      <c r="K432" s="9">
        <v>106.20166666666667</v>
      </c>
      <c r="N432" s="10"/>
      <c r="O432" s="10"/>
    </row>
    <row r="433" spans="1:15" x14ac:dyDescent="0.2">
      <c r="A433" s="6" t="s">
        <v>17</v>
      </c>
      <c r="B433" s="6" t="s">
        <v>368</v>
      </c>
      <c r="C433" s="9">
        <v>2022</v>
      </c>
      <c r="D433" s="6" t="s">
        <v>245</v>
      </c>
      <c r="E433" s="10">
        <v>12.74</v>
      </c>
      <c r="F433" s="10">
        <v>0.38274678111587984</v>
      </c>
      <c r="G433" s="9">
        <v>6.2985118900479558</v>
      </c>
      <c r="H433" s="11">
        <v>44623</v>
      </c>
      <c r="I433" s="11">
        <v>44930</v>
      </c>
      <c r="J433" s="9">
        <v>401.10198300283287</v>
      </c>
      <c r="K433" s="9">
        <v>160.44079320113315</v>
      </c>
      <c r="N433" s="10"/>
      <c r="O433" s="10"/>
    </row>
    <row r="434" spans="1:15" x14ac:dyDescent="0.2">
      <c r="A434" s="6" t="s">
        <v>11</v>
      </c>
      <c r="B434" s="6" t="s">
        <v>375</v>
      </c>
      <c r="C434" s="9">
        <v>2019</v>
      </c>
      <c r="D434" s="6" t="s">
        <v>241</v>
      </c>
      <c r="E434" s="10">
        <v>5.2271794871794874</v>
      </c>
      <c r="F434" s="10">
        <v>0.1857373421840427</v>
      </c>
      <c r="G434" s="9">
        <v>5.5051715555413088</v>
      </c>
      <c r="H434" s="11">
        <v>43608</v>
      </c>
      <c r="I434" s="11">
        <v>43882</v>
      </c>
      <c r="J434" s="9">
        <v>242.57387883732576</v>
      </c>
      <c r="K434" s="9" t="s">
        <v>390</v>
      </c>
      <c r="N434" s="10"/>
      <c r="O434" s="10"/>
    </row>
    <row r="435" spans="1:15" x14ac:dyDescent="0.2">
      <c r="A435" s="6" t="s">
        <v>16</v>
      </c>
      <c r="B435" s="6" t="s">
        <v>376</v>
      </c>
      <c r="C435" s="9">
        <v>2024</v>
      </c>
      <c r="D435" s="6" t="s">
        <v>245</v>
      </c>
      <c r="E435" s="10">
        <v>4.51</v>
      </c>
      <c r="F435" s="10">
        <v>0.23559701492537313</v>
      </c>
      <c r="G435" s="9">
        <v>5.4402895054282272</v>
      </c>
      <c r="H435" s="11">
        <v>45522</v>
      </c>
      <c r="I435" s="11">
        <v>45708</v>
      </c>
      <c r="J435" s="9">
        <v>261.39639639639637</v>
      </c>
      <c r="K435" s="9">
        <v>104.55855855855854</v>
      </c>
      <c r="N435" s="10"/>
      <c r="O435" s="10"/>
    </row>
    <row r="436" spans="1:15" x14ac:dyDescent="0.2">
      <c r="A436" s="6" t="s">
        <v>14</v>
      </c>
      <c r="B436" s="6" t="s">
        <v>377</v>
      </c>
      <c r="C436" s="9">
        <v>2021</v>
      </c>
      <c r="D436" s="6" t="s">
        <v>241</v>
      </c>
      <c r="E436" s="10">
        <v>1.41</v>
      </c>
      <c r="F436" s="10">
        <v>0.14954545454545454</v>
      </c>
      <c r="G436" s="9">
        <v>5.1893307202660912</v>
      </c>
      <c r="H436" s="11">
        <v>44306</v>
      </c>
      <c r="I436" s="11">
        <v>44448</v>
      </c>
      <c r="J436" s="9">
        <v>96.54717639593909</v>
      </c>
      <c r="K436" s="9">
        <v>63.727509172237028</v>
      </c>
      <c r="N436" s="10"/>
      <c r="O436" s="10"/>
    </row>
    <row r="437" spans="1:15" x14ac:dyDescent="0.2">
      <c r="A437" s="6" t="s">
        <v>16</v>
      </c>
      <c r="B437" s="6" t="s">
        <v>378</v>
      </c>
      <c r="C437" s="9">
        <v>2023</v>
      </c>
      <c r="D437" s="6" t="s">
        <v>245</v>
      </c>
      <c r="E437" s="10">
        <v>4.57</v>
      </c>
      <c r="F437" s="10">
        <v>0.18598837209302327</v>
      </c>
      <c r="G437" s="9">
        <v>5.1726089417091119</v>
      </c>
      <c r="H437" s="11">
        <v>45087</v>
      </c>
      <c r="I437" s="11">
        <v>45306</v>
      </c>
      <c r="J437" s="9">
        <v>264.29487179487177</v>
      </c>
      <c r="K437" s="9">
        <v>105.7179487179487</v>
      </c>
      <c r="N437" s="10"/>
      <c r="O437" s="10"/>
    </row>
    <row r="438" spans="1:15" x14ac:dyDescent="0.2">
      <c r="A438" s="6" t="s">
        <v>12</v>
      </c>
      <c r="B438" s="6" t="s">
        <v>379</v>
      </c>
      <c r="C438" s="9">
        <v>2021</v>
      </c>
      <c r="D438" s="6" t="s">
        <v>245</v>
      </c>
      <c r="E438" s="10">
        <v>3.16</v>
      </c>
      <c r="F438" s="10">
        <v>8.9918699186991871E-2</v>
      </c>
      <c r="G438" s="9">
        <v>4.8999844937199564</v>
      </c>
      <c r="H438" s="11">
        <v>44344</v>
      </c>
      <c r="I438" s="11">
        <v>44658</v>
      </c>
      <c r="J438" s="9">
        <v>137.63109756097563</v>
      </c>
      <c r="K438" s="9" t="s">
        <v>390</v>
      </c>
      <c r="N438" s="10"/>
      <c r="O438" s="10"/>
    </row>
    <row r="439" spans="1:15" x14ac:dyDescent="0.2">
      <c r="A439" s="6" t="s">
        <v>17</v>
      </c>
      <c r="B439" s="6" t="s">
        <v>380</v>
      </c>
      <c r="C439" s="9">
        <v>2024</v>
      </c>
      <c r="D439" s="6" t="s">
        <v>245</v>
      </c>
      <c r="E439" s="10">
        <v>3.25</v>
      </c>
      <c r="F439" s="10">
        <v>0.22303921568627452</v>
      </c>
      <c r="G439" s="9">
        <v>4.2312198932430674</v>
      </c>
      <c r="H439" s="11">
        <v>45513</v>
      </c>
      <c r="I439" s="11">
        <v>45677</v>
      </c>
      <c r="J439" s="9">
        <v>160.97904191616766</v>
      </c>
      <c r="K439" s="9">
        <v>119.24373475271678</v>
      </c>
      <c r="N439" s="10"/>
      <c r="O439" s="10"/>
    </row>
    <row r="440" spans="1:15" x14ac:dyDescent="0.2">
      <c r="A440" s="6" t="s">
        <v>17</v>
      </c>
      <c r="B440" s="6" t="s">
        <v>381</v>
      </c>
      <c r="C440" s="9">
        <v>2024</v>
      </c>
      <c r="D440" s="6" t="s">
        <v>245</v>
      </c>
      <c r="E440" s="10">
        <v>3.2</v>
      </c>
      <c r="F440" s="10">
        <v>0.18211382113821137</v>
      </c>
      <c r="G440" s="9">
        <v>4.166666666666667</v>
      </c>
      <c r="H440" s="11">
        <v>45512</v>
      </c>
      <c r="I440" s="11">
        <v>45698</v>
      </c>
      <c r="J440" s="9">
        <v>251.21495327102804</v>
      </c>
      <c r="K440" s="9">
        <v>157.00934579439252</v>
      </c>
      <c r="N440" s="10"/>
      <c r="O440" s="10"/>
    </row>
    <row r="441" spans="1:15" x14ac:dyDescent="0.2">
      <c r="A441" s="6" t="s">
        <v>11</v>
      </c>
      <c r="B441" s="6" t="s">
        <v>273</v>
      </c>
      <c r="C441" s="9">
        <v>2026</v>
      </c>
      <c r="D441" s="6" t="s">
        <v>241</v>
      </c>
      <c r="E441" s="10">
        <v>26.87</v>
      </c>
      <c r="F441" s="10">
        <v>1.0004787234042554</v>
      </c>
      <c r="G441" s="9">
        <v>17.894777048244315</v>
      </c>
      <c r="H441" s="11">
        <v>46035</v>
      </c>
      <c r="I441" s="11"/>
      <c r="J441" s="9">
        <v>398.1397026022305</v>
      </c>
      <c r="K441" s="9">
        <v>171.61194077682347</v>
      </c>
      <c r="N441" s="10"/>
      <c r="O441" s="10"/>
    </row>
    <row r="442" spans="1:15" x14ac:dyDescent="0.2">
      <c r="A442" s="6" t="s">
        <v>11</v>
      </c>
      <c r="B442" s="6" t="s">
        <v>391</v>
      </c>
      <c r="C442" s="9">
        <v>2026</v>
      </c>
      <c r="D442" s="6" t="s">
        <v>245</v>
      </c>
      <c r="E442" s="10">
        <v>27.91</v>
      </c>
      <c r="F442" s="10">
        <v>1.04475935828877</v>
      </c>
      <c r="G442" s="9">
        <v>17.520460633914904</v>
      </c>
      <c r="H442" s="11">
        <v>46035</v>
      </c>
      <c r="I442" s="11"/>
      <c r="J442" s="9">
        <v>422.38494423791821</v>
      </c>
      <c r="K442" s="9">
        <v>182.06247596461992</v>
      </c>
      <c r="N442" s="10"/>
      <c r="O442" s="10"/>
    </row>
    <row r="443" spans="1:15" x14ac:dyDescent="0.2">
      <c r="A443" s="6" t="s">
        <v>11</v>
      </c>
      <c r="B443" s="6" t="s">
        <v>24</v>
      </c>
      <c r="C443" s="9">
        <v>2026</v>
      </c>
      <c r="D443" s="6" t="s">
        <v>20</v>
      </c>
      <c r="E443" s="10">
        <v>22.81</v>
      </c>
      <c r="F443" s="10">
        <v>1.4784259259259258</v>
      </c>
      <c r="G443" s="9">
        <v>61.930404804672023</v>
      </c>
      <c r="H443" s="11">
        <v>46130</v>
      </c>
      <c r="I443" s="11"/>
      <c r="J443" s="9">
        <v>152.5571974522293</v>
      </c>
      <c r="K443" s="9">
        <v>100.3665772712035</v>
      </c>
      <c r="N443" s="10"/>
      <c r="O443" s="10"/>
    </row>
    <row r="444" spans="1:15" x14ac:dyDescent="0.2">
      <c r="A444" s="6" t="s">
        <v>11</v>
      </c>
      <c r="B444" s="6" t="s">
        <v>392</v>
      </c>
      <c r="C444" s="9">
        <v>2026</v>
      </c>
      <c r="D444" s="6" t="s">
        <v>20</v>
      </c>
      <c r="E444" s="10">
        <v>24.85</v>
      </c>
      <c r="F444" s="10">
        <v>1.6106481481481483</v>
      </c>
      <c r="G444" s="9">
        <v>63.303570915441284</v>
      </c>
      <c r="H444" s="11">
        <v>46130</v>
      </c>
      <c r="I444" s="11"/>
      <c r="J444" s="9">
        <v>162.59587349397592</v>
      </c>
      <c r="K444" s="9">
        <v>106.97096940393152</v>
      </c>
      <c r="N444" s="10"/>
      <c r="O444" s="10"/>
    </row>
    <row r="445" spans="1:15" x14ac:dyDescent="0.2">
      <c r="A445" s="6" t="s">
        <v>11</v>
      </c>
      <c r="B445" s="6" t="s">
        <v>44</v>
      </c>
      <c r="C445" s="9">
        <v>2026</v>
      </c>
      <c r="D445" s="6" t="s">
        <v>20</v>
      </c>
      <c r="E445" s="10">
        <v>17.899999999999999</v>
      </c>
      <c r="F445" s="10">
        <v>1.2405940594059404</v>
      </c>
      <c r="G445" s="9">
        <v>54.034953383388327</v>
      </c>
      <c r="H445" s="11">
        <v>46147</v>
      </c>
      <c r="I445" s="11"/>
      <c r="J445" s="9">
        <v>152.5571974522293</v>
      </c>
      <c r="K445" s="9">
        <v>100.3665772712035</v>
      </c>
      <c r="N445" s="10"/>
      <c r="O445" s="10"/>
    </row>
    <row r="446" spans="1:15" x14ac:dyDescent="0.2">
      <c r="A446" s="6" t="s">
        <v>11</v>
      </c>
      <c r="B446" s="6" t="s">
        <v>393</v>
      </c>
      <c r="C446" s="9">
        <v>2026</v>
      </c>
      <c r="D446" s="6" t="s">
        <v>20</v>
      </c>
      <c r="E446" s="10">
        <v>20.95</v>
      </c>
      <c r="F446" s="10">
        <v>1.4519801980198019</v>
      </c>
      <c r="G446" s="9">
        <v>59.337461083518377</v>
      </c>
      <c r="H446" s="11">
        <v>46147</v>
      </c>
      <c r="I446" s="11"/>
      <c r="J446" s="9">
        <v>162.59587349397592</v>
      </c>
      <c r="K446" s="9">
        <v>106.97096940393152</v>
      </c>
      <c r="N446" s="10"/>
      <c r="O446" s="10"/>
    </row>
    <row r="447" spans="1:15" x14ac:dyDescent="0.2">
      <c r="A447" s="6" t="s">
        <v>11</v>
      </c>
      <c r="B447" s="6" t="s">
        <v>32</v>
      </c>
      <c r="C447" s="9">
        <v>2026</v>
      </c>
      <c r="D447" s="6" t="s">
        <v>20</v>
      </c>
      <c r="E447" s="10">
        <v>18.03</v>
      </c>
      <c r="F447" s="10">
        <v>1.3426595744680851</v>
      </c>
      <c r="G447" s="9">
        <v>57.852885824267972</v>
      </c>
      <c r="H447" s="11">
        <v>46156</v>
      </c>
      <c r="I447" s="11"/>
      <c r="J447" s="9">
        <v>152.5571974522293</v>
      </c>
      <c r="K447" s="9">
        <v>100.3665772712035</v>
      </c>
      <c r="N447" s="10"/>
      <c r="O447" s="10"/>
    </row>
    <row r="448" spans="1:15" x14ac:dyDescent="0.2">
      <c r="A448" s="6" t="s">
        <v>11</v>
      </c>
      <c r="B448" s="6" t="s">
        <v>394</v>
      </c>
      <c r="C448" s="9">
        <v>2026</v>
      </c>
      <c r="D448" s="6" t="s">
        <v>20</v>
      </c>
      <c r="E448" s="10">
        <v>18.03</v>
      </c>
      <c r="F448" s="10">
        <v>1.3285263157894738</v>
      </c>
      <c r="G448" s="9">
        <v>57.852885824267972</v>
      </c>
      <c r="H448" s="11">
        <v>46156</v>
      </c>
      <c r="I448" s="11"/>
      <c r="J448" s="9">
        <v>152.5571974522293</v>
      </c>
      <c r="K448" s="9">
        <v>100.3665772712035</v>
      </c>
      <c r="N448" s="10"/>
      <c r="O448" s="10"/>
    </row>
    <row r="449" spans="1:15" x14ac:dyDescent="0.2">
      <c r="A449" s="6" t="s">
        <v>11</v>
      </c>
      <c r="B449" s="6" t="s">
        <v>40</v>
      </c>
      <c r="C449" s="9">
        <v>2026</v>
      </c>
      <c r="D449" s="6" t="s">
        <v>20</v>
      </c>
      <c r="E449" s="10">
        <v>17.350000000000001</v>
      </c>
      <c r="F449" s="10">
        <v>1.2784210526315791</v>
      </c>
      <c r="G449" s="9">
        <v>55.670968888022699</v>
      </c>
      <c r="H449" s="11">
        <v>46156</v>
      </c>
      <c r="I449" s="11"/>
      <c r="J449" s="9">
        <v>152.5571974522293</v>
      </c>
      <c r="K449" s="9">
        <v>100.3665772712035</v>
      </c>
      <c r="N449" s="10"/>
      <c r="O449" s="10"/>
    </row>
    <row r="450" spans="1:15" x14ac:dyDescent="0.2">
      <c r="A450" s="6" t="s">
        <v>11</v>
      </c>
      <c r="B450" s="6" t="s">
        <v>56</v>
      </c>
      <c r="C450" s="9">
        <v>2026</v>
      </c>
      <c r="D450" s="6" t="s">
        <v>20</v>
      </c>
      <c r="E450" s="10">
        <v>13.05</v>
      </c>
      <c r="F450" s="10">
        <v>1.5483050847457627</v>
      </c>
      <c r="G450" s="9">
        <v>45.087488112366906</v>
      </c>
      <c r="H450" s="11">
        <v>46178</v>
      </c>
      <c r="I450" s="11"/>
      <c r="J450" s="9">
        <v>167.44305555555559</v>
      </c>
      <c r="K450" s="9">
        <v>120.46262989608316</v>
      </c>
      <c r="N450" s="10"/>
      <c r="O450" s="10"/>
    </row>
    <row r="451" spans="1:15" x14ac:dyDescent="0.2">
      <c r="A451" s="6" t="s">
        <v>11</v>
      </c>
      <c r="B451" s="6" t="s">
        <v>75</v>
      </c>
      <c r="C451" s="9">
        <v>2026</v>
      </c>
      <c r="D451" s="6" t="s">
        <v>20</v>
      </c>
      <c r="E451" s="10">
        <v>14.78</v>
      </c>
      <c r="F451" s="10">
        <v>1.7243333333333333</v>
      </c>
      <c r="G451" s="9">
        <v>51.064603394696007</v>
      </c>
      <c r="H451" s="11">
        <v>46178</v>
      </c>
      <c r="I451" s="11"/>
      <c r="J451" s="9">
        <v>167.44305555555559</v>
      </c>
      <c r="K451" s="9">
        <v>120.46262989608316</v>
      </c>
      <c r="N451" s="10"/>
      <c r="O451" s="10"/>
    </row>
    <row r="452" spans="1:15" x14ac:dyDescent="0.2">
      <c r="A452" s="6" t="s">
        <v>11</v>
      </c>
      <c r="B452" s="6" t="s">
        <v>395</v>
      </c>
      <c r="C452" s="9">
        <v>2026</v>
      </c>
      <c r="D452" s="6" t="s">
        <v>245</v>
      </c>
      <c r="E452" s="10">
        <v>4.07</v>
      </c>
      <c r="F452" s="10">
        <v>0.47483333333333338</v>
      </c>
      <c r="G452" s="9">
        <v>8.2334736136231328</v>
      </c>
      <c r="H452" s="11">
        <v>46182</v>
      </c>
      <c r="I452" s="11"/>
      <c r="J452" s="9">
        <v>295.74913934426229</v>
      </c>
      <c r="K452" s="9">
        <v>127.47807730356135</v>
      </c>
      <c r="N452" s="10"/>
      <c r="O452" s="10"/>
    </row>
    <row r="453" spans="1:15" x14ac:dyDescent="0.2">
      <c r="A453" s="6" t="s">
        <v>11</v>
      </c>
      <c r="B453" s="6" t="s">
        <v>396</v>
      </c>
      <c r="C453" s="9">
        <v>2026</v>
      </c>
      <c r="D453" s="6" t="s">
        <v>245</v>
      </c>
      <c r="E453" s="10">
        <v>4.16</v>
      </c>
      <c r="F453" s="10">
        <v>0.48533333333333334</v>
      </c>
      <c r="G453" s="9">
        <v>8.4155405977081656</v>
      </c>
      <c r="H453" s="11">
        <v>46182</v>
      </c>
      <c r="I453" s="11"/>
      <c r="J453" s="9">
        <v>295.74913934426229</v>
      </c>
      <c r="K453" s="9">
        <v>127.47807730356135</v>
      </c>
      <c r="N453" s="10"/>
      <c r="O453" s="10"/>
    </row>
    <row r="454" spans="1:15" x14ac:dyDescent="0.2">
      <c r="A454" s="6" t="s">
        <v>13</v>
      </c>
      <c r="B454" s="6" t="s">
        <v>397</v>
      </c>
      <c r="C454" s="9">
        <v>2026</v>
      </c>
      <c r="D454" s="6" t="s">
        <v>20</v>
      </c>
      <c r="E454" s="10">
        <v>6.16</v>
      </c>
      <c r="F454" s="10">
        <v>0.62492753623188402</v>
      </c>
      <c r="G454" s="9">
        <v>24.520979453553991</v>
      </c>
      <c r="H454" s="11">
        <v>46174</v>
      </c>
      <c r="I454" s="11"/>
      <c r="J454" s="9">
        <v>140.67953551912569</v>
      </c>
      <c r="K454" s="9">
        <v>108.21502732240438</v>
      </c>
      <c r="N454" s="10"/>
      <c r="O454" s="10"/>
    </row>
    <row r="455" spans="1:15" x14ac:dyDescent="0.2">
      <c r="A455" s="6" t="s">
        <v>13</v>
      </c>
      <c r="B455" s="6" t="s">
        <v>398</v>
      </c>
      <c r="C455" s="9">
        <v>2026</v>
      </c>
      <c r="D455" s="6" t="s">
        <v>130</v>
      </c>
      <c r="E455" s="10">
        <v>13.475000000000001</v>
      </c>
      <c r="F455" s="10">
        <v>1.5463114754098364</v>
      </c>
      <c r="G455" s="9">
        <v>49.838754916602568</v>
      </c>
      <c r="H455" s="11">
        <v>46175</v>
      </c>
      <c r="I455" s="11"/>
      <c r="J455" s="9">
        <v>152.62931129476587</v>
      </c>
      <c r="K455" s="9">
        <v>117.40716253443527</v>
      </c>
      <c r="N455" s="10"/>
      <c r="O455" s="10"/>
    </row>
    <row r="456" spans="1:15" x14ac:dyDescent="0.2">
      <c r="A456" s="6" t="s">
        <v>13</v>
      </c>
      <c r="B456" s="6" t="s">
        <v>399</v>
      </c>
      <c r="C456" s="9">
        <v>2026</v>
      </c>
      <c r="D456" s="6" t="s">
        <v>130</v>
      </c>
      <c r="E456" s="10">
        <v>7.84</v>
      </c>
      <c r="F456" s="10">
        <v>0.89967213114754108</v>
      </c>
      <c r="G456" s="9">
        <v>37.803028400605172</v>
      </c>
      <c r="H456" s="11">
        <v>46176</v>
      </c>
      <c r="I456" s="11"/>
      <c r="J456" s="9">
        <v>118.02728</v>
      </c>
      <c r="K456" s="9">
        <v>90.790215384615379</v>
      </c>
      <c r="N456" s="10"/>
      <c r="O456" s="10"/>
    </row>
    <row r="457" spans="1:15" x14ac:dyDescent="0.2">
      <c r="A457" s="6" t="s">
        <v>13</v>
      </c>
      <c r="B457" s="6" t="s">
        <v>400</v>
      </c>
      <c r="C457" s="9">
        <v>2026</v>
      </c>
      <c r="D457" s="6" t="s">
        <v>130</v>
      </c>
      <c r="E457" s="10">
        <v>10.28</v>
      </c>
      <c r="F457" s="10">
        <v>1.1796721311475411</v>
      </c>
      <c r="G457" s="9">
        <v>49.974553812793999</v>
      </c>
      <c r="H457" s="11">
        <v>46177</v>
      </c>
      <c r="I457" s="11"/>
      <c r="J457" s="9">
        <v>118.02728</v>
      </c>
      <c r="K457" s="9">
        <v>90.790215384615379</v>
      </c>
      <c r="N457" s="10"/>
      <c r="O457" s="10"/>
    </row>
    <row r="458" spans="1:15" x14ac:dyDescent="0.2">
      <c r="A458" s="6" t="s">
        <v>13</v>
      </c>
      <c r="B458" s="6" t="s">
        <v>401</v>
      </c>
      <c r="C458" s="9">
        <v>2026</v>
      </c>
      <c r="D458" s="6" t="s">
        <v>130</v>
      </c>
      <c r="E458" s="10">
        <v>13.475000000000001</v>
      </c>
      <c r="F458" s="10">
        <v>1.5463114754098364</v>
      </c>
      <c r="G458" s="9">
        <v>50.655783685727208</v>
      </c>
      <c r="H458" s="11">
        <v>46177</v>
      </c>
      <c r="I458" s="11"/>
      <c r="J458" s="9">
        <v>152.62931129476587</v>
      </c>
      <c r="K458" s="9">
        <v>117.40716253443527</v>
      </c>
      <c r="N458" s="10"/>
      <c r="O458" s="10"/>
    </row>
    <row r="459" spans="1:15" x14ac:dyDescent="0.2">
      <c r="A459" s="6" t="s">
        <v>13</v>
      </c>
      <c r="B459" s="6" t="s">
        <v>402</v>
      </c>
      <c r="C459" s="9">
        <v>2026</v>
      </c>
      <c r="D459" s="6" t="s">
        <v>186</v>
      </c>
      <c r="E459" s="10">
        <v>7.75</v>
      </c>
      <c r="F459" s="10">
        <v>1.085</v>
      </c>
      <c r="G459" s="9">
        <v>37.231145935995485</v>
      </c>
      <c r="H459" s="11">
        <v>46183</v>
      </c>
      <c r="I459" s="11"/>
      <c r="J459" s="9">
        <v>125.61322033898306</v>
      </c>
      <c r="K459" s="9">
        <v>96.62555410691003</v>
      </c>
      <c r="N459" s="10"/>
      <c r="O459" s="10"/>
    </row>
    <row r="460" spans="1:15" x14ac:dyDescent="0.2">
      <c r="A460" s="6" t="s">
        <v>13</v>
      </c>
      <c r="B460" s="6" t="s">
        <v>403</v>
      </c>
      <c r="C460" s="9">
        <v>2026</v>
      </c>
      <c r="D460" s="6" t="s">
        <v>20</v>
      </c>
      <c r="E460" s="10">
        <v>6.16</v>
      </c>
      <c r="F460" s="10">
        <v>0.69548387096774189</v>
      </c>
      <c r="G460" s="9">
        <v>26.88703887451096</v>
      </c>
      <c r="H460" s="11">
        <v>46185</v>
      </c>
      <c r="I460" s="11"/>
      <c r="J460" s="9">
        <v>140.67953551912569</v>
      </c>
      <c r="K460" s="9">
        <v>108.21502732240438</v>
      </c>
      <c r="N460" s="10"/>
      <c r="O460" s="10"/>
    </row>
    <row r="461" spans="1:15" x14ac:dyDescent="0.2">
      <c r="A461" s="6" t="s">
        <v>13</v>
      </c>
      <c r="B461" s="6" t="s">
        <v>404</v>
      </c>
      <c r="C461" s="9">
        <v>2026</v>
      </c>
      <c r="D461" s="6" t="s">
        <v>130</v>
      </c>
      <c r="E461" s="10">
        <v>13.475000000000001</v>
      </c>
      <c r="F461" s="10">
        <v>1.5463114754098364</v>
      </c>
      <c r="G461" s="9">
        <v>54.690315129723182</v>
      </c>
      <c r="H461" s="11">
        <v>46186</v>
      </c>
      <c r="I461" s="11"/>
      <c r="J461" s="9">
        <v>152.62931129476587</v>
      </c>
      <c r="K461" s="9">
        <v>117.40716253443527</v>
      </c>
      <c r="N461" s="10"/>
      <c r="O461" s="10"/>
    </row>
    <row r="462" spans="1:15" x14ac:dyDescent="0.2">
      <c r="A462" s="6" t="s">
        <v>13</v>
      </c>
      <c r="B462" s="6" t="s">
        <v>405</v>
      </c>
      <c r="C462" s="9">
        <v>2026</v>
      </c>
      <c r="D462" s="6" t="s">
        <v>20</v>
      </c>
      <c r="E462" s="10">
        <v>6.16</v>
      </c>
      <c r="F462" s="10">
        <v>0.69548387096774189</v>
      </c>
      <c r="G462" s="9">
        <v>27.12497727163052</v>
      </c>
      <c r="H462" s="11">
        <v>46186</v>
      </c>
      <c r="I462" s="11"/>
      <c r="J462" s="9">
        <v>140.67953551912569</v>
      </c>
      <c r="K462" s="9">
        <v>108.21502732240438</v>
      </c>
      <c r="N462" s="10"/>
      <c r="O462" s="10"/>
    </row>
    <row r="463" spans="1:15" x14ac:dyDescent="0.2">
      <c r="A463" s="6" t="s">
        <v>18</v>
      </c>
      <c r="B463" s="6" t="s">
        <v>409</v>
      </c>
      <c r="C463" s="9">
        <v>2026</v>
      </c>
      <c r="D463" s="6" t="s">
        <v>241</v>
      </c>
      <c r="E463" s="10">
        <v>29.63</v>
      </c>
      <c r="F463" s="10">
        <v>0.93008968609865461</v>
      </c>
      <c r="G463" s="9">
        <v>16.621005180951872</v>
      </c>
      <c r="H463" s="11">
        <v>46006</v>
      </c>
      <c r="I463" s="11"/>
      <c r="J463" s="9">
        <v>425.89720136518764</v>
      </c>
      <c r="K463" s="9">
        <v>168.06448484848488</v>
      </c>
      <c r="N463" s="10"/>
      <c r="O463" s="10"/>
    </row>
    <row r="464" spans="1:15" x14ac:dyDescent="0.2">
      <c r="A464" s="6" t="s">
        <v>18</v>
      </c>
      <c r="B464" s="6" t="s">
        <v>410</v>
      </c>
      <c r="C464" s="9">
        <v>2026</v>
      </c>
      <c r="D464" s="6" t="s">
        <v>130</v>
      </c>
      <c r="E464" s="10">
        <v>52.050000000000004</v>
      </c>
      <c r="F464" s="10">
        <v>1.9380319148936171</v>
      </c>
      <c r="G464" s="9">
        <v>56.214966897430642</v>
      </c>
      <c r="H464" s="11">
        <v>46027</v>
      </c>
      <c r="I464" s="11"/>
      <c r="J464" s="9">
        <v>238.28566176470591</v>
      </c>
      <c r="K464" s="9">
        <v>158.85710784313727</v>
      </c>
      <c r="N464" s="10"/>
      <c r="O464" s="10"/>
    </row>
    <row r="465" spans="1:15" x14ac:dyDescent="0.2">
      <c r="A465" s="6" t="s">
        <v>18</v>
      </c>
      <c r="B465" s="6" t="s">
        <v>411</v>
      </c>
      <c r="C465" s="9">
        <v>2026</v>
      </c>
      <c r="D465" s="6" t="s">
        <v>245</v>
      </c>
      <c r="E465" s="10">
        <v>20.3</v>
      </c>
      <c r="F465" s="10">
        <v>0.64885844748858457</v>
      </c>
      <c r="G465" s="9">
        <v>15.429049175343922</v>
      </c>
      <c r="H465" s="11">
        <v>46006</v>
      </c>
      <c r="I465" s="11"/>
      <c r="J465" s="9">
        <v>314.33105802047788</v>
      </c>
      <c r="K465" s="9">
        <v>124.03905723905726</v>
      </c>
      <c r="N465" s="10"/>
      <c r="O465" s="10"/>
    </row>
    <row r="466" spans="1:15" x14ac:dyDescent="0.2">
      <c r="A466" s="6" t="s">
        <v>18</v>
      </c>
      <c r="B466" s="6" t="s">
        <v>244</v>
      </c>
      <c r="C466" s="9">
        <v>2026</v>
      </c>
      <c r="D466" s="6" t="s">
        <v>245</v>
      </c>
      <c r="E466" s="10">
        <v>36.450000000000003</v>
      </c>
      <c r="F466" s="10">
        <v>1.1240088105726873</v>
      </c>
      <c r="G466" s="9">
        <v>21.96901434766492</v>
      </c>
      <c r="H466" s="11">
        <v>46006</v>
      </c>
      <c r="I466" s="11"/>
      <c r="J466" s="9">
        <v>396.38515358361786</v>
      </c>
      <c r="K466" s="9">
        <v>156.4186531986532</v>
      </c>
      <c r="N466" s="10"/>
      <c r="O466" s="10"/>
    </row>
    <row r="467" spans="1:15" x14ac:dyDescent="0.2">
      <c r="A467" s="6" t="s">
        <v>15</v>
      </c>
      <c r="B467" s="6" t="s">
        <v>412</v>
      </c>
      <c r="C467" s="9">
        <v>2026</v>
      </c>
      <c r="D467" s="6" t="s">
        <v>241</v>
      </c>
      <c r="E467" s="10">
        <v>24.29</v>
      </c>
      <c r="F467" s="10">
        <v>0.76936651583710403</v>
      </c>
      <c r="G467" s="9">
        <v>15.070416505611545</v>
      </c>
      <c r="H467" s="11">
        <v>46007</v>
      </c>
      <c r="I467" s="11"/>
      <c r="J467" s="9">
        <v>386.38249999999994</v>
      </c>
      <c r="K467" s="9">
        <v>134.763127090301</v>
      </c>
      <c r="N467" s="10"/>
      <c r="O467" s="10"/>
    </row>
    <row r="468" spans="1:15" x14ac:dyDescent="0.2">
      <c r="A468" s="6" t="s">
        <v>15</v>
      </c>
      <c r="B468" s="6" t="s">
        <v>413</v>
      </c>
      <c r="C468" s="9">
        <v>2026</v>
      </c>
      <c r="D468" s="6" t="s">
        <v>245</v>
      </c>
      <c r="E468" s="10">
        <v>24.09</v>
      </c>
      <c r="F468" s="10">
        <v>0.67452000000000001</v>
      </c>
      <c r="G468" s="9">
        <v>17.374346118034484</v>
      </c>
      <c r="H468" s="11">
        <v>46008</v>
      </c>
      <c r="I468" s="11"/>
      <c r="J468" s="9">
        <v>333.52883161512028</v>
      </c>
      <c r="K468" s="9">
        <v>116.31937919463088</v>
      </c>
      <c r="N468" s="10"/>
      <c r="O468" s="10"/>
    </row>
    <row r="469" spans="1:15" x14ac:dyDescent="0.2">
      <c r="A469" s="6" t="s">
        <v>15</v>
      </c>
      <c r="B469" s="6" t="s">
        <v>414</v>
      </c>
      <c r="C469" s="9">
        <v>2026</v>
      </c>
      <c r="D469" s="6" t="s">
        <v>186</v>
      </c>
      <c r="E469" s="10">
        <v>6.27</v>
      </c>
      <c r="F469" s="10">
        <v>0.54185185185185181</v>
      </c>
      <c r="G469" s="9">
        <v>17.380698277176396</v>
      </c>
      <c r="H469" s="11">
        <v>46156</v>
      </c>
      <c r="I469" s="11"/>
      <c r="J469" s="9">
        <v>176.58846153846156</v>
      </c>
      <c r="K469" s="9">
        <v>117.72564102564104</v>
      </c>
      <c r="N469" s="10"/>
      <c r="O469" s="10"/>
    </row>
    <row r="470" spans="1:15" x14ac:dyDescent="0.2">
      <c r="A470" s="6" t="s">
        <v>15</v>
      </c>
      <c r="B470" s="6" t="s">
        <v>415</v>
      </c>
      <c r="C470" s="9">
        <v>2026</v>
      </c>
      <c r="D470" s="6" t="s">
        <v>130</v>
      </c>
      <c r="E470" s="10">
        <v>7.99</v>
      </c>
      <c r="F470" s="10">
        <v>0.64287356321839084</v>
      </c>
      <c r="G470" s="9">
        <v>24.904154848362058</v>
      </c>
      <c r="H470" s="11">
        <v>46157</v>
      </c>
      <c r="I470" s="11"/>
      <c r="J470" s="9">
        <v>158.15563380281691</v>
      </c>
      <c r="K470" s="9">
        <v>105.43708920187795</v>
      </c>
      <c r="N470" s="10"/>
      <c r="O470" s="10"/>
    </row>
    <row r="471" spans="1:15" x14ac:dyDescent="0.2">
      <c r="A471" s="6" t="s">
        <v>16</v>
      </c>
      <c r="B471" s="6" t="s">
        <v>385</v>
      </c>
      <c r="C471" s="9">
        <v>2026</v>
      </c>
      <c r="D471" s="6" t="s">
        <v>20</v>
      </c>
      <c r="E471" s="10">
        <v>1.18</v>
      </c>
      <c r="F471" s="10">
        <v>0.41299999999999998</v>
      </c>
      <c r="G471" s="9">
        <v>5.7827017273710624</v>
      </c>
      <c r="H471" s="11">
        <v>46219</v>
      </c>
      <c r="I471" s="11"/>
      <c r="J471" s="9">
        <v>178.54975903614454</v>
      </c>
      <c r="K471" s="9">
        <v>132.25908076751446</v>
      </c>
      <c r="N471" s="10"/>
      <c r="O471" s="10"/>
    </row>
    <row r="472" spans="1:15" x14ac:dyDescent="0.2">
      <c r="A472" s="6" t="s">
        <v>16</v>
      </c>
      <c r="B472" s="6" t="s">
        <v>107</v>
      </c>
      <c r="C472" s="9">
        <v>2026</v>
      </c>
      <c r="D472" s="6" t="s">
        <v>20</v>
      </c>
      <c r="E472" s="10">
        <v>1.84</v>
      </c>
      <c r="F472" s="10">
        <v>0.64400000000000002</v>
      </c>
      <c r="G472" s="9">
        <v>9.0170942189514882</v>
      </c>
      <c r="H472" s="11">
        <v>46219</v>
      </c>
      <c r="I472" s="11"/>
      <c r="J472" s="9">
        <v>178.54975903614454</v>
      </c>
      <c r="K472" s="9">
        <v>132.25908076751446</v>
      </c>
      <c r="N472" s="10"/>
      <c r="O472" s="10"/>
    </row>
    <row r="473" spans="1:15" x14ac:dyDescent="0.2">
      <c r="A473" s="6" t="s">
        <v>14</v>
      </c>
      <c r="B473" s="6" t="s">
        <v>406</v>
      </c>
      <c r="C473" s="9">
        <v>2026</v>
      </c>
      <c r="D473" s="6" t="s">
        <v>186</v>
      </c>
      <c r="E473" s="10">
        <v>19.98</v>
      </c>
      <c r="F473" s="10">
        <v>1.4722105263157896</v>
      </c>
      <c r="G473" s="9">
        <v>57.532342619785723</v>
      </c>
      <c r="H473" s="11">
        <v>46133</v>
      </c>
      <c r="I473" s="11"/>
      <c r="J473" s="9">
        <v>146.44460526315791</v>
      </c>
      <c r="K473" s="9">
        <v>122.03717105263159</v>
      </c>
      <c r="N473" s="10"/>
      <c r="O473" s="10"/>
    </row>
    <row r="474" spans="1:15" x14ac:dyDescent="0.2">
      <c r="A474" s="6" t="s">
        <v>14</v>
      </c>
      <c r="B474" s="6" t="s">
        <v>407</v>
      </c>
      <c r="C474" s="9">
        <v>2026</v>
      </c>
      <c r="D474" s="6" t="s">
        <v>130</v>
      </c>
      <c r="E474" s="10">
        <v>18.54</v>
      </c>
      <c r="F474" s="10">
        <v>1.2977999999999998</v>
      </c>
      <c r="G474" s="9">
        <v>57.160493225120767</v>
      </c>
      <c r="H474" s="11">
        <v>46133</v>
      </c>
      <c r="I474" s="11"/>
      <c r="J474" s="9">
        <v>136.7740522875817</v>
      </c>
      <c r="K474" s="9">
        <v>113.97837690631808</v>
      </c>
      <c r="N474" s="10"/>
      <c r="O474" s="10"/>
    </row>
    <row r="475" spans="1:15" x14ac:dyDescent="0.2">
      <c r="A475" s="6" t="s">
        <v>14</v>
      </c>
      <c r="B475" s="6" t="s">
        <v>408</v>
      </c>
      <c r="C475" s="9">
        <v>2026</v>
      </c>
      <c r="D475" s="6" t="s">
        <v>186</v>
      </c>
      <c r="E475" s="10">
        <v>26.95</v>
      </c>
      <c r="F475" s="10">
        <v>1.9857894736842105</v>
      </c>
      <c r="G475" s="9">
        <v>76.279747127536083</v>
      </c>
      <c r="H475" s="11">
        <v>46133</v>
      </c>
      <c r="I475" s="11"/>
      <c r="J475" s="9">
        <v>148.98394736842101</v>
      </c>
      <c r="K475" s="9">
        <v>124.1532894736842</v>
      </c>
      <c r="N475" s="10"/>
      <c r="O475" s="10"/>
    </row>
    <row r="476" spans="1:15" x14ac:dyDescent="0.2">
      <c r="A476" s="6" t="s">
        <v>17</v>
      </c>
      <c r="B476" s="6" t="s">
        <v>70</v>
      </c>
      <c r="C476" s="9">
        <v>2026</v>
      </c>
      <c r="D476" s="6" t="s">
        <v>20</v>
      </c>
      <c r="E476" s="10">
        <v>5.56</v>
      </c>
      <c r="F476" s="10">
        <v>0.84608695652173915</v>
      </c>
      <c r="G476" s="9">
        <v>16.470923332962709</v>
      </c>
      <c r="H476" s="11">
        <v>46195</v>
      </c>
      <c r="I476" s="11"/>
      <c r="J476" s="9">
        <v>227.20691588785047</v>
      </c>
      <c r="K476" s="9">
        <v>162.2906542056075</v>
      </c>
      <c r="N476" s="10"/>
      <c r="O476" s="10"/>
    </row>
    <row r="477" spans="1:15" x14ac:dyDescent="0.2">
      <c r="A477" s="6" t="s">
        <v>17</v>
      </c>
      <c r="B477" s="6" t="s">
        <v>416</v>
      </c>
      <c r="C477" s="9">
        <v>2026</v>
      </c>
      <c r="D477" s="6" t="s">
        <v>20</v>
      </c>
      <c r="E477" s="10">
        <v>6.65</v>
      </c>
      <c r="F477" s="10">
        <v>0.84636363636363643</v>
      </c>
      <c r="G477" s="9">
        <v>16.409642377991606</v>
      </c>
      <c r="H477" s="11">
        <v>46185</v>
      </c>
      <c r="I477" s="11"/>
      <c r="J477" s="9">
        <v>248.83743589743591</v>
      </c>
      <c r="K477" s="9">
        <v>177.74102564102566</v>
      </c>
      <c r="N477" s="10"/>
      <c r="O477" s="10"/>
    </row>
    <row r="478" spans="1:15" x14ac:dyDescent="0.2">
      <c r="C478" s="9"/>
      <c r="I478" s="11"/>
      <c r="J478" s="9"/>
      <c r="K478" s="9"/>
      <c r="N478" s="10"/>
      <c r="O478" s="10"/>
    </row>
    <row r="479" spans="1:15" x14ac:dyDescent="0.2">
      <c r="C479" s="9"/>
      <c r="I479" s="11"/>
      <c r="J479" s="9"/>
      <c r="K479" s="9"/>
      <c r="N479" s="10"/>
      <c r="O479" s="10"/>
    </row>
    <row r="480" spans="1:15" x14ac:dyDescent="0.2">
      <c r="C480" s="9"/>
      <c r="I480" s="11"/>
      <c r="J480" s="9"/>
      <c r="K480" s="9"/>
      <c r="N480" s="10"/>
      <c r="O480" s="10"/>
    </row>
    <row r="481" spans="3:15" x14ac:dyDescent="0.2">
      <c r="C481" s="9"/>
      <c r="I481" s="11"/>
      <c r="J481" s="9"/>
      <c r="K481" s="9"/>
      <c r="N481" s="10"/>
      <c r="O481" s="10"/>
    </row>
    <row r="482" spans="3:15" x14ac:dyDescent="0.2">
      <c r="C482" s="9"/>
      <c r="I482" s="11"/>
      <c r="J482" s="9"/>
      <c r="K482" s="9"/>
      <c r="N482" s="10"/>
      <c r="O482" s="10"/>
    </row>
    <row r="483" spans="3:15" x14ac:dyDescent="0.2">
      <c r="C483" s="9"/>
      <c r="I483" s="11"/>
      <c r="J483" s="9"/>
      <c r="K483" s="9"/>
      <c r="N483" s="10"/>
      <c r="O483" s="10"/>
    </row>
    <row r="484" spans="3:15" x14ac:dyDescent="0.2">
      <c r="C484" s="9"/>
      <c r="I484" s="11"/>
      <c r="J484" s="9"/>
      <c r="K484" s="9"/>
      <c r="N484" s="10"/>
      <c r="O484" s="10"/>
    </row>
    <row r="485" spans="3:15" x14ac:dyDescent="0.2">
      <c r="C485" s="9"/>
      <c r="I485" s="11"/>
      <c r="J485" s="9"/>
      <c r="K485" s="9"/>
      <c r="N485" s="10"/>
      <c r="O485" s="10"/>
    </row>
    <row r="486" spans="3:15" x14ac:dyDescent="0.2">
      <c r="C486" s="9"/>
      <c r="I486" s="11"/>
      <c r="J486" s="9"/>
      <c r="K486" s="9"/>
      <c r="N486" s="10"/>
      <c r="O486" s="10"/>
    </row>
    <row r="487" spans="3:15" x14ac:dyDescent="0.2">
      <c r="C487" s="9"/>
      <c r="I487" s="11"/>
      <c r="J487" s="9"/>
      <c r="K487" s="9"/>
      <c r="N487" s="10"/>
      <c r="O487" s="10"/>
    </row>
    <row r="488" spans="3:15" x14ac:dyDescent="0.2">
      <c r="C488" s="9"/>
      <c r="I488" s="11"/>
      <c r="J488" s="9"/>
      <c r="K488" s="9"/>
      <c r="N488" s="10"/>
      <c r="O488" s="10"/>
    </row>
    <row r="489" spans="3:15" x14ac:dyDescent="0.2">
      <c r="C489" s="9"/>
      <c r="I489" s="11"/>
      <c r="J489" s="9"/>
      <c r="K489" s="9"/>
      <c r="N489" s="10"/>
      <c r="O489" s="10"/>
    </row>
    <row r="490" spans="3:15" x14ac:dyDescent="0.2">
      <c r="C490" s="9"/>
      <c r="I490" s="11"/>
      <c r="J490" s="9"/>
      <c r="K490" s="9"/>
      <c r="N490" s="10"/>
      <c r="O490" s="10"/>
    </row>
    <row r="491" spans="3:15" x14ac:dyDescent="0.2">
      <c r="C491" s="9"/>
      <c r="I491" s="11"/>
      <c r="J491" s="9"/>
      <c r="K491" s="9"/>
      <c r="N491" s="10"/>
      <c r="O491" s="10"/>
    </row>
    <row r="492" spans="3:15" x14ac:dyDescent="0.2">
      <c r="C492" s="9"/>
      <c r="I492" s="11"/>
      <c r="J492" s="9"/>
      <c r="K492" s="9"/>
      <c r="N492" s="10"/>
      <c r="O492" s="10"/>
    </row>
    <row r="493" spans="3:15" x14ac:dyDescent="0.2">
      <c r="C493" s="9"/>
      <c r="I493" s="11"/>
      <c r="J493" s="9"/>
      <c r="K493" s="9"/>
      <c r="N493" s="10"/>
      <c r="O493" s="10"/>
    </row>
    <row r="494" spans="3:15" x14ac:dyDescent="0.2">
      <c r="C494" s="9"/>
      <c r="I494" s="11"/>
      <c r="J494" s="9"/>
      <c r="K494" s="9"/>
      <c r="N494" s="10"/>
      <c r="O494" s="10"/>
    </row>
    <row r="495" spans="3:15" x14ac:dyDescent="0.2">
      <c r="C495" s="9"/>
      <c r="I495" s="11"/>
      <c r="J495" s="9"/>
      <c r="K495" s="9"/>
      <c r="N495" s="10"/>
      <c r="O495" s="10"/>
    </row>
    <row r="496" spans="3:15" x14ac:dyDescent="0.2">
      <c r="C496" s="9"/>
      <c r="I496" s="11"/>
      <c r="J496" s="9"/>
      <c r="K496" s="9"/>
      <c r="N496" s="10"/>
      <c r="O496" s="10"/>
    </row>
    <row r="497" spans="3:15" x14ac:dyDescent="0.2">
      <c r="C497" s="9"/>
      <c r="I497" s="11"/>
      <c r="J497" s="9"/>
      <c r="K497" s="9"/>
      <c r="N497" s="10"/>
      <c r="O497" s="10"/>
    </row>
    <row r="498" spans="3:15" x14ac:dyDescent="0.2">
      <c r="C498" s="9"/>
      <c r="I498" s="11"/>
      <c r="J498" s="9"/>
      <c r="K498" s="9"/>
      <c r="N498" s="10"/>
      <c r="O498" s="10"/>
    </row>
    <row r="499" spans="3:15" x14ac:dyDescent="0.2">
      <c r="C499" s="9"/>
      <c r="I499" s="11"/>
      <c r="J499" s="9"/>
      <c r="K499" s="9"/>
      <c r="N499" s="10"/>
      <c r="O499" s="10"/>
    </row>
    <row r="500" spans="3:15" x14ac:dyDescent="0.2">
      <c r="C500" s="9"/>
      <c r="I500" s="11"/>
      <c r="J500" s="9"/>
      <c r="K500" s="9"/>
      <c r="N500" s="10"/>
      <c r="O500" s="10"/>
    </row>
    <row r="501" spans="3:15" x14ac:dyDescent="0.2">
      <c r="C501" s="9"/>
      <c r="I501" s="11"/>
      <c r="J501" s="9"/>
      <c r="K501" s="9"/>
      <c r="N501" s="10"/>
      <c r="O501" s="10"/>
    </row>
    <row r="502" spans="3:15" x14ac:dyDescent="0.2">
      <c r="C502" s="9"/>
      <c r="I502" s="11"/>
      <c r="J502" s="9"/>
      <c r="K502" s="9"/>
    </row>
    <row r="503" spans="3:15" x14ac:dyDescent="0.2">
      <c r="C503" s="9"/>
      <c r="I503" s="11"/>
      <c r="J503" s="9"/>
      <c r="K503" s="9"/>
    </row>
    <row r="504" spans="3:15" x14ac:dyDescent="0.2">
      <c r="C504" s="9"/>
      <c r="I504" s="11"/>
      <c r="J504" s="9"/>
      <c r="K504" s="9"/>
    </row>
    <row r="505" spans="3:15" x14ac:dyDescent="0.2">
      <c r="C505" s="9"/>
      <c r="I505" s="11"/>
      <c r="J505" s="9"/>
      <c r="K505" s="9"/>
    </row>
    <row r="506" spans="3:15" x14ac:dyDescent="0.2">
      <c r="C506" s="9"/>
      <c r="I506" s="11"/>
      <c r="J506" s="9"/>
      <c r="K506" s="9"/>
    </row>
    <row r="507" spans="3:15" x14ac:dyDescent="0.2">
      <c r="C507" s="9"/>
      <c r="I507" s="11"/>
      <c r="J507" s="9"/>
      <c r="K507" s="9"/>
    </row>
    <row r="508" spans="3:15" x14ac:dyDescent="0.2">
      <c r="C508" s="9"/>
      <c r="I508" s="11"/>
      <c r="J508" s="9"/>
      <c r="K508" s="9"/>
    </row>
    <row r="509" spans="3:15" x14ac:dyDescent="0.2">
      <c r="C509" s="9"/>
      <c r="I509" s="11"/>
      <c r="J509" s="9"/>
      <c r="K509" s="9"/>
    </row>
    <row r="510" spans="3:15" x14ac:dyDescent="0.2">
      <c r="C510" s="9"/>
      <c r="I510" s="11"/>
      <c r="J510" s="9"/>
      <c r="K510" s="9"/>
    </row>
    <row r="511" spans="3:15" x14ac:dyDescent="0.2">
      <c r="C511" s="9"/>
      <c r="I511" s="11"/>
      <c r="J511" s="9"/>
      <c r="K511" s="9"/>
    </row>
    <row r="512" spans="3:15" x14ac:dyDescent="0.2">
      <c r="C512" s="9"/>
      <c r="I512" s="11"/>
      <c r="J512" s="9"/>
      <c r="K512" s="9"/>
    </row>
    <row r="513" spans="3:11" x14ac:dyDescent="0.2">
      <c r="C513" s="9"/>
      <c r="I513" s="11"/>
      <c r="J513" s="9"/>
      <c r="K513" s="9"/>
    </row>
    <row r="514" spans="3:11" x14ac:dyDescent="0.2">
      <c r="C514" s="9"/>
      <c r="I514" s="11"/>
      <c r="J514" s="9"/>
      <c r="K514" s="9"/>
    </row>
    <row r="515" spans="3:11" x14ac:dyDescent="0.2">
      <c r="C515" s="9"/>
      <c r="I515" s="11"/>
      <c r="J515" s="9"/>
      <c r="K515" s="9"/>
    </row>
    <row r="516" spans="3:11" x14ac:dyDescent="0.2">
      <c r="C516" s="9"/>
      <c r="I516" s="11"/>
      <c r="J516" s="9"/>
      <c r="K516" s="9"/>
    </row>
    <row r="517" spans="3:11" x14ac:dyDescent="0.2">
      <c r="C517" s="9"/>
      <c r="I517" s="11"/>
      <c r="J517" s="9"/>
      <c r="K517" s="9"/>
    </row>
    <row r="518" spans="3:11" x14ac:dyDescent="0.2">
      <c r="C518" s="9"/>
      <c r="I518" s="11"/>
      <c r="J518" s="9"/>
      <c r="K518" s="9"/>
    </row>
    <row r="519" spans="3:11" x14ac:dyDescent="0.2">
      <c r="C519" s="9"/>
      <c r="I519" s="11"/>
      <c r="J519" s="9"/>
      <c r="K519" s="9"/>
    </row>
    <row r="520" spans="3:11" x14ac:dyDescent="0.2">
      <c r="C520" s="9"/>
      <c r="I520" s="11"/>
      <c r="J520" s="9"/>
      <c r="K520" s="9"/>
    </row>
    <row r="521" spans="3:11" x14ac:dyDescent="0.2">
      <c r="C521" s="9"/>
      <c r="I521" s="11"/>
      <c r="J521" s="9"/>
      <c r="K521" s="9"/>
    </row>
    <row r="522" spans="3:11" x14ac:dyDescent="0.2">
      <c r="C522" s="9"/>
      <c r="I522" s="11"/>
      <c r="J522" s="9"/>
      <c r="K522" s="9"/>
    </row>
    <row r="523" spans="3:11" x14ac:dyDescent="0.2">
      <c r="C523" s="9"/>
      <c r="I523" s="11"/>
      <c r="J523" s="9"/>
      <c r="K523" s="9"/>
    </row>
    <row r="524" spans="3:11" x14ac:dyDescent="0.2">
      <c r="C524" s="9"/>
      <c r="I524" s="11"/>
      <c r="J524" s="9"/>
      <c r="K524" s="9"/>
    </row>
    <row r="525" spans="3:11" x14ac:dyDescent="0.2">
      <c r="C525" s="9"/>
      <c r="I525" s="11"/>
      <c r="J525" s="9"/>
      <c r="K525" s="9"/>
    </row>
    <row r="526" spans="3:11" x14ac:dyDescent="0.2">
      <c r="C526" s="9"/>
      <c r="I526" s="11"/>
      <c r="J526" s="9"/>
      <c r="K526" s="9"/>
    </row>
    <row r="527" spans="3:11" x14ac:dyDescent="0.2">
      <c r="C527" s="9"/>
      <c r="I527" s="11"/>
      <c r="J527" s="9"/>
      <c r="K527" s="9"/>
    </row>
    <row r="528" spans="3:11" x14ac:dyDescent="0.2">
      <c r="C528" s="9"/>
      <c r="I528" s="11"/>
      <c r="J528" s="9"/>
      <c r="K528" s="9"/>
    </row>
    <row r="529" spans="3:11" x14ac:dyDescent="0.2">
      <c r="C529" s="9"/>
      <c r="I529" s="11"/>
      <c r="J529" s="9"/>
      <c r="K529" s="9"/>
    </row>
    <row r="530" spans="3:11" x14ac:dyDescent="0.2">
      <c r="C530" s="9"/>
      <c r="I530" s="11"/>
      <c r="J530" s="9"/>
      <c r="K530" s="9"/>
    </row>
    <row r="531" spans="3:11" x14ac:dyDescent="0.2">
      <c r="C531" s="9"/>
      <c r="I531" s="11"/>
      <c r="J531" s="9"/>
      <c r="K531" s="9"/>
    </row>
    <row r="532" spans="3:11" x14ac:dyDescent="0.2">
      <c r="C532" s="9"/>
      <c r="I532" s="11"/>
      <c r="J532" s="9"/>
      <c r="K532" s="9"/>
    </row>
    <row r="533" spans="3:11" x14ac:dyDescent="0.2">
      <c r="C533" s="9"/>
      <c r="I533" s="11"/>
      <c r="J533" s="9"/>
      <c r="K533" s="9"/>
    </row>
    <row r="534" spans="3:11" x14ac:dyDescent="0.2">
      <c r="C534" s="9"/>
      <c r="I534" s="11"/>
      <c r="J534" s="9"/>
      <c r="K534" s="9"/>
    </row>
    <row r="535" spans="3:11" x14ac:dyDescent="0.2">
      <c r="C535" s="9"/>
      <c r="I535" s="11"/>
      <c r="J535" s="9"/>
      <c r="K535" s="9"/>
    </row>
    <row r="536" spans="3:11" x14ac:dyDescent="0.2">
      <c r="C536" s="9"/>
      <c r="I536" s="11"/>
      <c r="J536" s="9"/>
      <c r="K536" s="9"/>
    </row>
    <row r="537" spans="3:11" x14ac:dyDescent="0.2">
      <c r="C537" s="9"/>
      <c r="I537" s="11"/>
      <c r="J537" s="9"/>
      <c r="K537" s="9"/>
    </row>
    <row r="538" spans="3:11" x14ac:dyDescent="0.2">
      <c r="C538" s="9"/>
      <c r="I538" s="11"/>
      <c r="J538" s="9"/>
      <c r="K538" s="9"/>
    </row>
    <row r="539" spans="3:11" x14ac:dyDescent="0.2">
      <c r="C539" s="9"/>
      <c r="I539" s="11"/>
      <c r="J539" s="9"/>
      <c r="K539" s="9"/>
    </row>
    <row r="540" spans="3:11" x14ac:dyDescent="0.2">
      <c r="C540" s="9"/>
      <c r="I540" s="11"/>
      <c r="J540" s="9"/>
      <c r="K540" s="9"/>
    </row>
    <row r="541" spans="3:11" x14ac:dyDescent="0.2">
      <c r="C541" s="9"/>
      <c r="I541" s="11"/>
      <c r="J541" s="9"/>
      <c r="K541" s="9"/>
    </row>
    <row r="542" spans="3:11" x14ac:dyDescent="0.2">
      <c r="C542" s="9"/>
      <c r="I542" s="11"/>
      <c r="J542" s="9"/>
      <c r="K542" s="9"/>
    </row>
    <row r="543" spans="3:11" x14ac:dyDescent="0.2">
      <c r="C543" s="9"/>
      <c r="I543" s="11"/>
      <c r="J543" s="9"/>
      <c r="K543" s="9"/>
    </row>
    <row r="544" spans="3:11" x14ac:dyDescent="0.2">
      <c r="C544" s="9"/>
      <c r="I544" s="11"/>
      <c r="J544" s="9"/>
      <c r="K544" s="9"/>
    </row>
    <row r="545" spans="3:11" x14ac:dyDescent="0.2">
      <c r="C545" s="9"/>
      <c r="I545" s="11"/>
      <c r="J545" s="9"/>
      <c r="K545" s="9"/>
    </row>
    <row r="546" spans="3:11" x14ac:dyDescent="0.2">
      <c r="C546" s="9"/>
      <c r="I546" s="11"/>
      <c r="J546" s="9"/>
      <c r="K546" s="9"/>
    </row>
    <row r="547" spans="3:11" x14ac:dyDescent="0.2">
      <c r="C547" s="9"/>
      <c r="I547" s="11"/>
      <c r="J547" s="9"/>
      <c r="K547" s="9"/>
    </row>
    <row r="548" spans="3:11" x14ac:dyDescent="0.2">
      <c r="C548" s="9"/>
      <c r="I548" s="11"/>
      <c r="J548" s="9"/>
      <c r="K548" s="9"/>
    </row>
    <row r="549" spans="3:11" x14ac:dyDescent="0.2">
      <c r="C549" s="9"/>
      <c r="I549" s="11"/>
      <c r="J549" s="9"/>
      <c r="K549" s="9"/>
    </row>
    <row r="550" spans="3:11" x14ac:dyDescent="0.2">
      <c r="C550" s="9"/>
      <c r="I550" s="11"/>
      <c r="J550" s="9"/>
      <c r="K550" s="9"/>
    </row>
    <row r="551" spans="3:11" x14ac:dyDescent="0.2">
      <c r="C551" s="9"/>
      <c r="I551" s="11"/>
      <c r="J551" s="9"/>
      <c r="K551" s="9"/>
    </row>
    <row r="552" spans="3:11" x14ac:dyDescent="0.2">
      <c r="C552" s="9"/>
      <c r="I552" s="11"/>
      <c r="J552" s="9"/>
      <c r="K552" s="9"/>
    </row>
    <row r="553" spans="3:11" x14ac:dyDescent="0.2">
      <c r="C553" s="9"/>
      <c r="I553" s="11"/>
      <c r="J553" s="9"/>
      <c r="K553" s="9"/>
    </row>
    <row r="554" spans="3:11" x14ac:dyDescent="0.2">
      <c r="C554" s="9"/>
      <c r="I554" s="11"/>
      <c r="J554" s="9"/>
      <c r="K554" s="9"/>
    </row>
    <row r="555" spans="3:11" x14ac:dyDescent="0.2">
      <c r="C555" s="9"/>
      <c r="I555" s="11"/>
      <c r="J555" s="9"/>
      <c r="K555" s="9"/>
    </row>
    <row r="556" spans="3:11" x14ac:dyDescent="0.2">
      <c r="C556" s="9"/>
      <c r="I556" s="11"/>
      <c r="J556" s="9"/>
      <c r="K556" s="9"/>
    </row>
    <row r="557" spans="3:11" x14ac:dyDescent="0.2">
      <c r="C557" s="9"/>
      <c r="I557" s="11"/>
      <c r="J557" s="9"/>
      <c r="K557" s="9"/>
    </row>
    <row r="558" spans="3:11" x14ac:dyDescent="0.2">
      <c r="C558" s="9"/>
      <c r="I558" s="11"/>
      <c r="J558" s="9"/>
      <c r="K558" s="9"/>
    </row>
    <row r="559" spans="3:11" x14ac:dyDescent="0.2">
      <c r="C559" s="9"/>
      <c r="I559" s="11"/>
      <c r="J559" s="9"/>
      <c r="K559" s="9"/>
    </row>
    <row r="560" spans="3:11" x14ac:dyDescent="0.2">
      <c r="C560" s="9"/>
      <c r="I560" s="11"/>
      <c r="J560" s="9"/>
      <c r="K560" s="9"/>
    </row>
    <row r="561" spans="3:11" x14ac:dyDescent="0.2">
      <c r="C561" s="9"/>
      <c r="I561" s="11"/>
      <c r="J561" s="9"/>
      <c r="K561" s="9"/>
    </row>
    <row r="562" spans="3:11" x14ac:dyDescent="0.2">
      <c r="C562" s="9"/>
      <c r="I562" s="11"/>
      <c r="J562" s="9"/>
      <c r="K562" s="9"/>
    </row>
    <row r="563" spans="3:11" x14ac:dyDescent="0.2">
      <c r="C563" s="9"/>
      <c r="I563" s="11"/>
      <c r="J563" s="9"/>
      <c r="K563" s="9"/>
    </row>
    <row r="564" spans="3:11" x14ac:dyDescent="0.2">
      <c r="C564" s="9"/>
      <c r="I564" s="11"/>
      <c r="J564" s="9"/>
      <c r="K564" s="9"/>
    </row>
    <row r="565" spans="3:11" x14ac:dyDescent="0.2">
      <c r="C565" s="9"/>
      <c r="I565" s="11"/>
      <c r="J565" s="9"/>
      <c r="K565" s="9"/>
    </row>
    <row r="566" spans="3:11" x14ac:dyDescent="0.2">
      <c r="C566" s="9"/>
      <c r="I566" s="11"/>
      <c r="J566" s="9"/>
      <c r="K566" s="9"/>
    </row>
    <row r="567" spans="3:11" x14ac:dyDescent="0.2">
      <c r="C567" s="9"/>
      <c r="I567" s="11"/>
      <c r="J567" s="9"/>
      <c r="K567" s="9"/>
    </row>
    <row r="568" spans="3:11" x14ac:dyDescent="0.2">
      <c r="C568" s="9"/>
      <c r="I568" s="11"/>
      <c r="J568" s="9"/>
      <c r="K568" s="9"/>
    </row>
    <row r="569" spans="3:11" x14ac:dyDescent="0.2">
      <c r="C569" s="9"/>
      <c r="I569" s="11"/>
      <c r="J569" s="9"/>
      <c r="K569" s="9"/>
    </row>
    <row r="570" spans="3:11" x14ac:dyDescent="0.2">
      <c r="C570" s="9"/>
      <c r="I570" s="11"/>
      <c r="J570" s="9"/>
      <c r="K570" s="9"/>
    </row>
    <row r="571" spans="3:11" x14ac:dyDescent="0.2">
      <c r="C571" s="9"/>
      <c r="I571" s="11"/>
      <c r="J571" s="9"/>
      <c r="K571" s="9"/>
    </row>
    <row r="572" spans="3:11" x14ac:dyDescent="0.2">
      <c r="C572" s="9"/>
      <c r="I572" s="11"/>
      <c r="J572" s="9"/>
      <c r="K572" s="9"/>
    </row>
    <row r="573" spans="3:11" x14ac:dyDescent="0.2">
      <c r="C573" s="9"/>
      <c r="I573" s="11"/>
      <c r="J573" s="9"/>
      <c r="K573" s="9"/>
    </row>
    <row r="574" spans="3:11" x14ac:dyDescent="0.2">
      <c r="C574" s="9"/>
      <c r="I574" s="11"/>
      <c r="J574" s="9"/>
      <c r="K574" s="9"/>
    </row>
    <row r="575" spans="3:11" x14ac:dyDescent="0.2">
      <c r="C575" s="9"/>
      <c r="I575" s="11"/>
      <c r="J575" s="9"/>
      <c r="K575" s="9"/>
    </row>
    <row r="576" spans="3:11" x14ac:dyDescent="0.2">
      <c r="C576" s="9"/>
      <c r="I576" s="11"/>
      <c r="J576" s="9"/>
      <c r="K576" s="9"/>
    </row>
    <row r="577" spans="3:11" x14ac:dyDescent="0.2">
      <c r="C577" s="9"/>
      <c r="I577" s="11"/>
      <c r="J577" s="9"/>
      <c r="K577" s="9"/>
    </row>
    <row r="578" spans="3:11" x14ac:dyDescent="0.2">
      <c r="C578" s="9"/>
      <c r="I578" s="11"/>
      <c r="J578" s="9"/>
      <c r="K578" s="9"/>
    </row>
    <row r="579" spans="3:11" x14ac:dyDescent="0.2">
      <c r="C579" s="9"/>
      <c r="I579" s="11"/>
      <c r="J579" s="9"/>
      <c r="K579" s="9"/>
    </row>
    <row r="580" spans="3:11" x14ac:dyDescent="0.2">
      <c r="C580" s="9"/>
      <c r="I580" s="11"/>
      <c r="J580" s="9"/>
      <c r="K580" s="9"/>
    </row>
    <row r="581" spans="3:11" x14ac:dyDescent="0.2">
      <c r="C581" s="9"/>
      <c r="I581" s="11"/>
      <c r="J581" s="9"/>
      <c r="K581" s="9"/>
    </row>
    <row r="582" spans="3:11" x14ac:dyDescent="0.2">
      <c r="C582" s="9"/>
      <c r="I582" s="11"/>
      <c r="J582" s="9"/>
      <c r="K582" s="9"/>
    </row>
    <row r="583" spans="3:11" x14ac:dyDescent="0.2">
      <c r="C583" s="9"/>
      <c r="I583" s="11"/>
      <c r="J583" s="9"/>
      <c r="K583" s="9"/>
    </row>
    <row r="584" spans="3:11" x14ac:dyDescent="0.2">
      <c r="C584" s="9"/>
      <c r="I584" s="11"/>
      <c r="J584" s="9"/>
      <c r="K584" s="9"/>
    </row>
    <row r="585" spans="3:11" x14ac:dyDescent="0.2">
      <c r="C585" s="9"/>
      <c r="I585" s="11"/>
      <c r="J585" s="9"/>
      <c r="K585" s="9"/>
    </row>
    <row r="586" spans="3:11" x14ac:dyDescent="0.2">
      <c r="C586" s="9"/>
      <c r="I586" s="11"/>
      <c r="J586" s="9"/>
      <c r="K586" s="9"/>
    </row>
    <row r="587" spans="3:11" x14ac:dyDescent="0.2">
      <c r="C587" s="9"/>
      <c r="I587" s="11"/>
      <c r="J587" s="9"/>
      <c r="K587" s="9"/>
    </row>
    <row r="588" spans="3:11" x14ac:dyDescent="0.2">
      <c r="C588" s="9"/>
      <c r="I588" s="11"/>
      <c r="J588" s="9"/>
      <c r="K588" s="9"/>
    </row>
    <row r="589" spans="3:11" x14ac:dyDescent="0.2">
      <c r="C589" s="9"/>
      <c r="I589" s="11"/>
      <c r="J589" s="9"/>
      <c r="K589" s="9"/>
    </row>
    <row r="590" spans="3:11" x14ac:dyDescent="0.2">
      <c r="C590" s="9"/>
      <c r="I590" s="11"/>
      <c r="J590" s="9"/>
      <c r="K590" s="9"/>
    </row>
    <row r="591" spans="3:11" x14ac:dyDescent="0.2">
      <c r="C591" s="9"/>
      <c r="I591" s="11"/>
      <c r="J591" s="9"/>
      <c r="K591" s="9"/>
    </row>
    <row r="592" spans="3:11" x14ac:dyDescent="0.2">
      <c r="C592" s="9"/>
      <c r="I592" s="11"/>
      <c r="J592" s="9"/>
      <c r="K592" s="9"/>
    </row>
    <row r="593" spans="3:11" x14ac:dyDescent="0.2">
      <c r="C593" s="9"/>
      <c r="I593" s="11"/>
      <c r="J593" s="9"/>
      <c r="K593" s="9"/>
    </row>
    <row r="594" spans="3:11" x14ac:dyDescent="0.2">
      <c r="C594" s="9"/>
      <c r="I594" s="11"/>
      <c r="J594" s="9"/>
      <c r="K594" s="9"/>
    </row>
    <row r="595" spans="3:11" x14ac:dyDescent="0.2">
      <c r="C595" s="9"/>
      <c r="I595" s="11"/>
      <c r="J595" s="9"/>
      <c r="K595" s="9"/>
    </row>
    <row r="596" spans="3:11" x14ac:dyDescent="0.2">
      <c r="C596" s="9"/>
      <c r="I596" s="11"/>
      <c r="J596" s="9"/>
      <c r="K596" s="9"/>
    </row>
    <row r="597" spans="3:11" x14ac:dyDescent="0.2">
      <c r="C597" s="9"/>
      <c r="I597" s="11"/>
      <c r="J597" s="9"/>
      <c r="K597" s="9"/>
    </row>
    <row r="598" spans="3:11" x14ac:dyDescent="0.2">
      <c r="C598" s="9"/>
      <c r="I598" s="11"/>
      <c r="J598" s="9"/>
      <c r="K598" s="9"/>
    </row>
    <row r="599" spans="3:11" x14ac:dyDescent="0.2">
      <c r="C599" s="9"/>
      <c r="I599" s="11"/>
      <c r="J599" s="9"/>
      <c r="K599" s="9"/>
    </row>
    <row r="600" spans="3:11" x14ac:dyDescent="0.2">
      <c r="C600" s="9"/>
      <c r="I600" s="11"/>
      <c r="J600" s="9"/>
      <c r="K600" s="9"/>
    </row>
    <row r="601" spans="3:11" x14ac:dyDescent="0.2">
      <c r="C601" s="9"/>
      <c r="I601" s="11"/>
      <c r="J601" s="9"/>
      <c r="K601" s="9"/>
    </row>
    <row r="602" spans="3:11" x14ac:dyDescent="0.2">
      <c r="C602" s="9"/>
      <c r="I602" s="11"/>
      <c r="J602" s="9"/>
      <c r="K602" s="9"/>
    </row>
    <row r="603" spans="3:11" x14ac:dyDescent="0.2">
      <c r="C603" s="9"/>
      <c r="I603" s="11"/>
      <c r="J603" s="9"/>
      <c r="K603" s="9"/>
    </row>
    <row r="604" spans="3:11" x14ac:dyDescent="0.2">
      <c r="C604" s="9"/>
      <c r="I604" s="11"/>
      <c r="J604" s="9"/>
      <c r="K604" s="9"/>
    </row>
    <row r="605" spans="3:11" x14ac:dyDescent="0.2">
      <c r="C605" s="9"/>
      <c r="I605" s="11"/>
      <c r="J605" s="9"/>
      <c r="K605" s="9"/>
    </row>
    <row r="606" spans="3:11" x14ac:dyDescent="0.2">
      <c r="C606" s="9"/>
      <c r="I606" s="11"/>
      <c r="J606" s="9"/>
      <c r="K606" s="9"/>
    </row>
    <row r="607" spans="3:11" x14ac:dyDescent="0.2">
      <c r="C607" s="9"/>
      <c r="I607" s="11"/>
      <c r="J607" s="9"/>
      <c r="K607" s="9"/>
    </row>
    <row r="608" spans="3:11" x14ac:dyDescent="0.2">
      <c r="C608" s="9"/>
      <c r="I608" s="11"/>
      <c r="J608" s="9"/>
      <c r="K608" s="9"/>
    </row>
    <row r="609" spans="3:11" x14ac:dyDescent="0.2">
      <c r="C609" s="9"/>
      <c r="I609" s="11"/>
      <c r="J609" s="9"/>
      <c r="K609" s="9"/>
    </row>
    <row r="610" spans="3:11" x14ac:dyDescent="0.2">
      <c r="C610" s="9"/>
      <c r="I610" s="11"/>
      <c r="J610" s="9"/>
      <c r="K610" s="9"/>
    </row>
    <row r="611" spans="3:11" x14ac:dyDescent="0.2">
      <c r="C611" s="9"/>
      <c r="I611" s="11"/>
      <c r="J611" s="9"/>
      <c r="K611" s="9"/>
    </row>
    <row r="612" spans="3:11" x14ac:dyDescent="0.2">
      <c r="C612" s="9"/>
      <c r="I612" s="11"/>
      <c r="J612" s="9"/>
      <c r="K612" s="9"/>
    </row>
    <row r="613" spans="3:11" x14ac:dyDescent="0.2">
      <c r="C613" s="9"/>
      <c r="I613" s="11"/>
      <c r="J613" s="9"/>
      <c r="K613" s="9"/>
    </row>
    <row r="614" spans="3:11" x14ac:dyDescent="0.2">
      <c r="C614" s="9"/>
      <c r="I614" s="11"/>
      <c r="J614" s="9"/>
      <c r="K614" s="9"/>
    </row>
    <row r="615" spans="3:11" x14ac:dyDescent="0.2">
      <c r="C615" s="9"/>
      <c r="I615" s="11"/>
      <c r="J615" s="9"/>
      <c r="K615" s="9"/>
    </row>
    <row r="616" spans="3:11" x14ac:dyDescent="0.2">
      <c r="C616" s="9"/>
      <c r="I616" s="11"/>
      <c r="J616" s="9"/>
      <c r="K616" s="9"/>
    </row>
    <row r="617" spans="3:11" x14ac:dyDescent="0.2">
      <c r="C617" s="9"/>
      <c r="I617" s="11"/>
      <c r="J617" s="9"/>
      <c r="K617" s="9"/>
    </row>
    <row r="618" spans="3:11" x14ac:dyDescent="0.2">
      <c r="C618" s="9"/>
      <c r="I618" s="11"/>
      <c r="J618" s="9"/>
      <c r="K618" s="9"/>
    </row>
    <row r="619" spans="3:11" x14ac:dyDescent="0.2">
      <c r="C619" s="9"/>
      <c r="I619" s="11"/>
      <c r="J619" s="9"/>
      <c r="K619" s="9"/>
    </row>
    <row r="620" spans="3:11" x14ac:dyDescent="0.2">
      <c r="C620" s="9"/>
      <c r="I620" s="11"/>
      <c r="J620" s="9"/>
      <c r="K620" s="9"/>
    </row>
    <row r="621" spans="3:11" x14ac:dyDescent="0.2">
      <c r="C621" s="9"/>
      <c r="I621" s="11"/>
      <c r="J621" s="9"/>
      <c r="K621" s="9"/>
    </row>
    <row r="622" spans="3:11" x14ac:dyDescent="0.2">
      <c r="C622" s="9"/>
      <c r="I622" s="11"/>
      <c r="J622" s="9"/>
      <c r="K622" s="9"/>
    </row>
    <row r="623" spans="3:11" x14ac:dyDescent="0.2">
      <c r="C623" s="9"/>
      <c r="I623" s="11"/>
      <c r="J623" s="9"/>
      <c r="K623" s="9"/>
    </row>
    <row r="624" spans="3:11" x14ac:dyDescent="0.2">
      <c r="C624" s="9"/>
      <c r="I624" s="11"/>
      <c r="J624" s="9"/>
      <c r="K624" s="9"/>
    </row>
    <row r="625" spans="3:11" x14ac:dyDescent="0.2">
      <c r="C625" s="9"/>
      <c r="I625" s="11"/>
      <c r="J625" s="9"/>
      <c r="K625" s="9"/>
    </row>
    <row r="626" spans="3:11" x14ac:dyDescent="0.2">
      <c r="C626" s="9"/>
      <c r="I626" s="11"/>
      <c r="J626" s="9"/>
      <c r="K626" s="9"/>
    </row>
    <row r="627" spans="3:11" x14ac:dyDescent="0.2">
      <c r="C627" s="9"/>
      <c r="I627" s="11"/>
      <c r="J627" s="9"/>
      <c r="K627" s="9"/>
    </row>
    <row r="628" spans="3:11" x14ac:dyDescent="0.2">
      <c r="C628" s="9"/>
      <c r="I628" s="11"/>
      <c r="J628" s="9"/>
      <c r="K628" s="9"/>
    </row>
    <row r="629" spans="3:11" x14ac:dyDescent="0.2">
      <c r="C629" s="9"/>
      <c r="I629" s="11"/>
      <c r="J629" s="9"/>
      <c r="K629" s="9"/>
    </row>
    <row r="630" spans="3:11" x14ac:dyDescent="0.2">
      <c r="C630" s="9"/>
      <c r="I630" s="11"/>
      <c r="J630" s="9"/>
      <c r="K630" s="9"/>
    </row>
    <row r="631" spans="3:11" x14ac:dyDescent="0.2">
      <c r="C631" s="9"/>
      <c r="I631" s="11"/>
      <c r="J631" s="9"/>
      <c r="K631" s="9"/>
    </row>
    <row r="632" spans="3:11" x14ac:dyDescent="0.2">
      <c r="C632" s="9"/>
      <c r="I632" s="11"/>
      <c r="J632" s="9"/>
      <c r="K632" s="9"/>
    </row>
    <row r="633" spans="3:11" x14ac:dyDescent="0.2">
      <c r="C633" s="9"/>
      <c r="I633" s="11"/>
      <c r="J633" s="9"/>
      <c r="K633" s="9"/>
    </row>
    <row r="634" spans="3:11" x14ac:dyDescent="0.2">
      <c r="C634" s="9"/>
      <c r="I634" s="11"/>
      <c r="J634" s="9"/>
      <c r="K634" s="9"/>
    </row>
    <row r="635" spans="3:11" x14ac:dyDescent="0.2">
      <c r="C635" s="9"/>
      <c r="I635" s="11"/>
      <c r="J635" s="9"/>
      <c r="K635" s="9"/>
    </row>
    <row r="636" spans="3:11" x14ac:dyDescent="0.2">
      <c r="C636" s="9"/>
      <c r="I636" s="11"/>
      <c r="J636" s="9"/>
      <c r="K636" s="9"/>
    </row>
    <row r="637" spans="3:11" x14ac:dyDescent="0.2">
      <c r="C637" s="9"/>
      <c r="I637" s="11"/>
      <c r="J637" s="9"/>
      <c r="K637" s="9"/>
    </row>
    <row r="638" spans="3:11" x14ac:dyDescent="0.2">
      <c r="C638" s="9"/>
      <c r="I638" s="11"/>
      <c r="J638" s="9"/>
      <c r="K638" s="9"/>
    </row>
    <row r="639" spans="3:11" x14ac:dyDescent="0.2">
      <c r="C639" s="9"/>
      <c r="I639" s="11"/>
      <c r="J639" s="9"/>
      <c r="K639" s="9"/>
    </row>
    <row r="640" spans="3:11" x14ac:dyDescent="0.2">
      <c r="C640" s="9"/>
      <c r="I640" s="11"/>
      <c r="J640" s="9"/>
      <c r="K640" s="9"/>
    </row>
    <row r="641" spans="3:11" x14ac:dyDescent="0.2">
      <c r="C641" s="9"/>
      <c r="I641" s="11"/>
      <c r="J641" s="9"/>
      <c r="K641" s="9"/>
    </row>
    <row r="642" spans="3:11" x14ac:dyDescent="0.2">
      <c r="C642" s="9"/>
      <c r="I642" s="11"/>
      <c r="J642" s="9"/>
      <c r="K642" s="9"/>
    </row>
    <row r="643" spans="3:11" x14ac:dyDescent="0.2">
      <c r="C643" s="9"/>
      <c r="I643" s="11"/>
      <c r="J643" s="9"/>
      <c r="K643" s="9"/>
    </row>
    <row r="644" spans="3:11" x14ac:dyDescent="0.2">
      <c r="C644" s="9"/>
      <c r="I644" s="11"/>
      <c r="J644" s="9"/>
      <c r="K644" s="9"/>
    </row>
    <row r="645" spans="3:11" x14ac:dyDescent="0.2">
      <c r="C645" s="9"/>
      <c r="I645" s="11"/>
      <c r="J645" s="9"/>
      <c r="K645" s="9"/>
    </row>
    <row r="646" spans="3:11" x14ac:dyDescent="0.2">
      <c r="C646" s="9"/>
      <c r="I646" s="11"/>
      <c r="J646" s="9"/>
      <c r="K646" s="9"/>
    </row>
    <row r="647" spans="3:11" x14ac:dyDescent="0.2">
      <c r="C647" s="9"/>
      <c r="I647" s="11"/>
      <c r="J647" s="9"/>
      <c r="K647" s="9"/>
    </row>
    <row r="648" spans="3:11" x14ac:dyDescent="0.2">
      <c r="C648" s="9"/>
      <c r="I648" s="11"/>
      <c r="J648" s="9"/>
      <c r="K648" s="9"/>
    </row>
    <row r="649" spans="3:11" x14ac:dyDescent="0.2">
      <c r="C649" s="9"/>
      <c r="I649" s="11"/>
      <c r="J649" s="9"/>
      <c r="K649" s="9"/>
    </row>
    <row r="650" spans="3:11" x14ac:dyDescent="0.2">
      <c r="C650" s="9"/>
      <c r="I650" s="11"/>
      <c r="J650" s="9"/>
      <c r="K650" s="9"/>
    </row>
    <row r="651" spans="3:11" x14ac:dyDescent="0.2">
      <c r="C651" s="9"/>
      <c r="I651" s="11"/>
      <c r="J651" s="9"/>
      <c r="K651" s="9"/>
    </row>
    <row r="652" spans="3:11" x14ac:dyDescent="0.2">
      <c r="C652" s="9"/>
      <c r="I652" s="11"/>
      <c r="J652" s="9"/>
      <c r="K652" s="9"/>
    </row>
    <row r="653" spans="3:11" x14ac:dyDescent="0.2">
      <c r="C653" s="9"/>
      <c r="I653" s="11"/>
      <c r="J653" s="9"/>
      <c r="K653" s="9"/>
    </row>
    <row r="654" spans="3:11" x14ac:dyDescent="0.2">
      <c r="C654" s="9"/>
      <c r="I654" s="11"/>
      <c r="J654" s="9"/>
      <c r="K654" s="9"/>
    </row>
    <row r="655" spans="3:11" x14ac:dyDescent="0.2">
      <c r="C655" s="9"/>
      <c r="I655" s="11"/>
      <c r="J655" s="9"/>
      <c r="K655" s="9"/>
    </row>
    <row r="656" spans="3:11" x14ac:dyDescent="0.2">
      <c r="C656" s="9"/>
      <c r="I656" s="11"/>
      <c r="J656" s="9"/>
      <c r="K656" s="9"/>
    </row>
    <row r="657" spans="3:11" x14ac:dyDescent="0.2">
      <c r="C657" s="9"/>
      <c r="I657" s="11"/>
      <c r="J657" s="9"/>
      <c r="K657" s="9"/>
    </row>
    <row r="658" spans="3:11" x14ac:dyDescent="0.2">
      <c r="C658" s="9"/>
      <c r="I658" s="11"/>
      <c r="J658" s="9"/>
      <c r="K658" s="9"/>
    </row>
    <row r="659" spans="3:11" x14ac:dyDescent="0.2">
      <c r="C659" s="9"/>
      <c r="I659" s="11"/>
      <c r="J659" s="9"/>
      <c r="K659" s="9"/>
    </row>
    <row r="660" spans="3:11" x14ac:dyDescent="0.2">
      <c r="C660" s="9"/>
      <c r="I660" s="11"/>
      <c r="J660" s="9"/>
      <c r="K660" s="9"/>
    </row>
    <row r="661" spans="3:11" x14ac:dyDescent="0.2">
      <c r="C661" s="9"/>
      <c r="I661" s="11"/>
      <c r="J661" s="9"/>
      <c r="K661" s="9"/>
    </row>
    <row r="662" spans="3:11" x14ac:dyDescent="0.2">
      <c r="C662" s="9"/>
      <c r="I662" s="11"/>
      <c r="J662" s="9"/>
      <c r="K662" s="9"/>
    </row>
    <row r="663" spans="3:11" x14ac:dyDescent="0.2">
      <c r="C663" s="9"/>
      <c r="I663" s="11"/>
      <c r="J663" s="9"/>
      <c r="K663" s="9"/>
    </row>
    <row r="664" spans="3:11" x14ac:dyDescent="0.2">
      <c r="C664" s="9"/>
      <c r="I664" s="11"/>
      <c r="J664" s="9"/>
      <c r="K664" s="9"/>
    </row>
    <row r="665" spans="3:11" x14ac:dyDescent="0.2">
      <c r="C665" s="9"/>
      <c r="I665" s="11"/>
      <c r="J665" s="9"/>
      <c r="K665" s="9"/>
    </row>
    <row r="666" spans="3:11" x14ac:dyDescent="0.2">
      <c r="C666" s="9"/>
      <c r="I666" s="11"/>
      <c r="J666" s="9"/>
      <c r="K666" s="9"/>
    </row>
    <row r="667" spans="3:11" x14ac:dyDescent="0.2">
      <c r="C667" s="9"/>
      <c r="I667" s="11"/>
      <c r="J667" s="9"/>
      <c r="K667" s="9"/>
    </row>
    <row r="668" spans="3:11" x14ac:dyDescent="0.2">
      <c r="C668" s="9"/>
      <c r="I668" s="11"/>
      <c r="J668" s="9"/>
      <c r="K668" s="9"/>
    </row>
    <row r="669" spans="3:11" x14ac:dyDescent="0.2">
      <c r="C669" s="9"/>
      <c r="I669" s="11"/>
      <c r="J669" s="9"/>
      <c r="K669" s="9"/>
    </row>
    <row r="670" spans="3:11" x14ac:dyDescent="0.2">
      <c r="C670" s="9"/>
      <c r="I670" s="11"/>
      <c r="J670" s="9"/>
      <c r="K670" s="9"/>
    </row>
    <row r="671" spans="3:11" x14ac:dyDescent="0.2">
      <c r="C671" s="9"/>
      <c r="I671" s="11"/>
      <c r="J671" s="9"/>
      <c r="K671" s="9"/>
    </row>
    <row r="672" spans="3:11" x14ac:dyDescent="0.2">
      <c r="C672" s="9"/>
      <c r="I672" s="11"/>
      <c r="J672" s="9"/>
      <c r="K672" s="9"/>
    </row>
    <row r="673" spans="3:11" x14ac:dyDescent="0.2">
      <c r="C673" s="9"/>
      <c r="I673" s="11"/>
      <c r="J673" s="9"/>
      <c r="K673" s="9"/>
    </row>
    <row r="674" spans="3:11" x14ac:dyDescent="0.2">
      <c r="C674" s="9"/>
      <c r="I674" s="11"/>
      <c r="J674" s="9"/>
      <c r="K674" s="9"/>
    </row>
    <row r="675" spans="3:11" x14ac:dyDescent="0.2">
      <c r="C675" s="9"/>
      <c r="I675" s="11"/>
      <c r="J675" s="9"/>
      <c r="K675" s="9"/>
    </row>
    <row r="676" spans="3:11" x14ac:dyDescent="0.2">
      <c r="C676" s="9"/>
      <c r="I676" s="11"/>
      <c r="J676" s="9"/>
      <c r="K676" s="9"/>
    </row>
    <row r="677" spans="3:11" x14ac:dyDescent="0.2">
      <c r="C677" s="9"/>
      <c r="I677" s="11"/>
      <c r="J677" s="9"/>
      <c r="K677" s="9"/>
    </row>
    <row r="678" spans="3:11" x14ac:dyDescent="0.2">
      <c r="C678" s="9"/>
      <c r="I678" s="11"/>
      <c r="J678" s="9"/>
      <c r="K678" s="9"/>
    </row>
    <row r="679" spans="3:11" x14ac:dyDescent="0.2">
      <c r="C679" s="9"/>
      <c r="I679" s="11"/>
      <c r="J679" s="9"/>
      <c r="K679" s="9"/>
    </row>
    <row r="680" spans="3:11" x14ac:dyDescent="0.2">
      <c r="C680" s="9"/>
      <c r="I680" s="11"/>
      <c r="J680" s="9"/>
      <c r="K680" s="9"/>
    </row>
    <row r="681" spans="3:11" x14ac:dyDescent="0.2">
      <c r="C681" s="9"/>
      <c r="I681" s="11"/>
      <c r="J681" s="9"/>
      <c r="K681" s="9"/>
    </row>
    <row r="682" spans="3:11" x14ac:dyDescent="0.2">
      <c r="C682" s="9"/>
      <c r="I682" s="11"/>
      <c r="J682" s="9"/>
      <c r="K682" s="9"/>
    </row>
    <row r="683" spans="3:11" x14ac:dyDescent="0.2">
      <c r="C683" s="9"/>
      <c r="I683" s="11"/>
      <c r="J683" s="9"/>
      <c r="K683" s="9"/>
    </row>
    <row r="684" spans="3:11" x14ac:dyDescent="0.2">
      <c r="C684" s="9"/>
      <c r="I684" s="11"/>
      <c r="J684" s="9"/>
      <c r="K684" s="9"/>
    </row>
    <row r="685" spans="3:11" x14ac:dyDescent="0.2">
      <c r="C685" s="9"/>
      <c r="I685" s="11"/>
      <c r="J685" s="9"/>
      <c r="K685" s="9"/>
    </row>
    <row r="686" spans="3:11" x14ac:dyDescent="0.2">
      <c r="C686" s="9"/>
      <c r="I686" s="11"/>
      <c r="J686" s="9"/>
      <c r="K686" s="9"/>
    </row>
    <row r="687" spans="3:11" x14ac:dyDescent="0.2">
      <c r="C687" s="9"/>
      <c r="I687" s="11"/>
      <c r="J687" s="9"/>
      <c r="K687" s="9"/>
    </row>
    <row r="688" spans="3:11" x14ac:dyDescent="0.2">
      <c r="C688" s="9"/>
      <c r="I688" s="11"/>
      <c r="J688" s="9"/>
      <c r="K688" s="9"/>
    </row>
    <row r="689" spans="3:11" x14ac:dyDescent="0.2">
      <c r="C689" s="9"/>
      <c r="I689" s="11"/>
      <c r="J689" s="9"/>
      <c r="K689" s="9"/>
    </row>
    <row r="690" spans="3:11" x14ac:dyDescent="0.2">
      <c r="C690" s="9"/>
      <c r="I690" s="11"/>
      <c r="J690" s="9"/>
      <c r="K690" s="9"/>
    </row>
    <row r="691" spans="3:11" x14ac:dyDescent="0.2">
      <c r="C691" s="9"/>
      <c r="I691" s="11"/>
      <c r="J691" s="9"/>
      <c r="K691" s="9"/>
    </row>
    <row r="692" spans="3:11" x14ac:dyDescent="0.2">
      <c r="C692" s="9"/>
      <c r="I692" s="11"/>
      <c r="J692" s="9"/>
      <c r="K692" s="9"/>
    </row>
    <row r="693" spans="3:11" x14ac:dyDescent="0.2">
      <c r="C693" s="9"/>
      <c r="I693" s="11"/>
      <c r="J693" s="9"/>
      <c r="K693" s="9"/>
    </row>
    <row r="694" spans="3:11" x14ac:dyDescent="0.2">
      <c r="C694" s="9"/>
      <c r="I694" s="11"/>
      <c r="J694" s="9"/>
      <c r="K694" s="9"/>
    </row>
    <row r="695" spans="3:11" x14ac:dyDescent="0.2">
      <c r="C695" s="9"/>
      <c r="I695" s="11"/>
      <c r="J695" s="9"/>
      <c r="K695" s="9"/>
    </row>
    <row r="696" spans="3:11" x14ac:dyDescent="0.2">
      <c r="C696" s="9"/>
      <c r="I696" s="11"/>
      <c r="J696" s="9"/>
      <c r="K696" s="9"/>
    </row>
    <row r="697" spans="3:11" x14ac:dyDescent="0.2">
      <c r="C697" s="9"/>
      <c r="I697" s="11"/>
      <c r="J697" s="9"/>
      <c r="K697" s="9"/>
    </row>
    <row r="698" spans="3:11" x14ac:dyDescent="0.2">
      <c r="C698" s="9"/>
      <c r="I698" s="11"/>
      <c r="J698" s="9"/>
      <c r="K698" s="9"/>
    </row>
    <row r="699" spans="3:11" x14ac:dyDescent="0.2">
      <c r="C699" s="9"/>
      <c r="I699" s="11"/>
      <c r="J699" s="9"/>
      <c r="K699" s="9"/>
    </row>
    <row r="700" spans="3:11" x14ac:dyDescent="0.2">
      <c r="C700" s="9"/>
      <c r="I700" s="11"/>
      <c r="J700" s="9"/>
      <c r="K700" s="9"/>
    </row>
    <row r="701" spans="3:11" x14ac:dyDescent="0.2">
      <c r="C701" s="9"/>
      <c r="I701" s="11"/>
      <c r="J701" s="9"/>
      <c r="K701" s="9"/>
    </row>
    <row r="702" spans="3:11" x14ac:dyDescent="0.2">
      <c r="C702" s="9"/>
      <c r="I702" s="11"/>
      <c r="J702" s="9"/>
      <c r="K702" s="9"/>
    </row>
    <row r="703" spans="3:11" x14ac:dyDescent="0.2">
      <c r="C703" s="9"/>
      <c r="I703" s="11"/>
      <c r="J703" s="9"/>
      <c r="K703" s="9"/>
    </row>
    <row r="704" spans="3:11" x14ac:dyDescent="0.2">
      <c r="C704" s="9"/>
      <c r="I704" s="11"/>
      <c r="J704" s="9"/>
      <c r="K704" s="9"/>
    </row>
    <row r="705" spans="3:11" x14ac:dyDescent="0.2">
      <c r="C705" s="9"/>
      <c r="I705" s="11"/>
      <c r="J705" s="9"/>
      <c r="K705" s="9"/>
    </row>
    <row r="706" spans="3:11" x14ac:dyDescent="0.2">
      <c r="C706" s="9"/>
      <c r="I706" s="11"/>
      <c r="J706" s="9"/>
      <c r="K706" s="9"/>
    </row>
    <row r="707" spans="3:11" x14ac:dyDescent="0.2">
      <c r="C707" s="9"/>
      <c r="I707" s="11"/>
      <c r="J707" s="9"/>
      <c r="K707" s="9"/>
    </row>
    <row r="708" spans="3:11" x14ac:dyDescent="0.2">
      <c r="C708" s="9"/>
      <c r="I708" s="11"/>
      <c r="J708" s="9"/>
      <c r="K708" s="9"/>
    </row>
    <row r="709" spans="3:11" x14ac:dyDescent="0.2">
      <c r="C709" s="9"/>
      <c r="I709" s="11"/>
      <c r="J709" s="9"/>
      <c r="K709" s="9"/>
    </row>
    <row r="710" spans="3:11" x14ac:dyDescent="0.2">
      <c r="C710" s="9"/>
      <c r="I710" s="11"/>
      <c r="J710" s="9"/>
      <c r="K710" s="9"/>
    </row>
    <row r="711" spans="3:11" x14ac:dyDescent="0.2">
      <c r="C711" s="9"/>
      <c r="I711" s="11"/>
      <c r="J711" s="9"/>
      <c r="K711" s="9"/>
    </row>
    <row r="712" spans="3:11" x14ac:dyDescent="0.2">
      <c r="C712" s="9"/>
      <c r="I712" s="11"/>
      <c r="J712" s="9"/>
      <c r="K712" s="9"/>
    </row>
    <row r="713" spans="3:11" x14ac:dyDescent="0.2">
      <c r="C713" s="9"/>
      <c r="I713" s="11"/>
      <c r="J713" s="9"/>
      <c r="K713" s="9"/>
    </row>
    <row r="714" spans="3:11" x14ac:dyDescent="0.2">
      <c r="C714" s="9"/>
      <c r="I714" s="11"/>
      <c r="J714" s="9"/>
      <c r="K714" s="9"/>
    </row>
    <row r="715" spans="3:11" x14ac:dyDescent="0.2">
      <c r="C715" s="9"/>
      <c r="I715" s="11"/>
      <c r="J715" s="9"/>
      <c r="K715" s="9"/>
    </row>
    <row r="716" spans="3:11" x14ac:dyDescent="0.2">
      <c r="C716" s="9"/>
      <c r="I716" s="11"/>
      <c r="J716" s="9"/>
      <c r="K716" s="9"/>
    </row>
    <row r="717" spans="3:11" x14ac:dyDescent="0.2">
      <c r="C717" s="9"/>
      <c r="I717" s="11"/>
      <c r="J717" s="9"/>
      <c r="K717" s="9"/>
    </row>
    <row r="718" spans="3:11" x14ac:dyDescent="0.2">
      <c r="C718" s="9"/>
      <c r="I718" s="11"/>
      <c r="J718" s="9"/>
      <c r="K718" s="9"/>
    </row>
    <row r="719" spans="3:11" x14ac:dyDescent="0.2">
      <c r="C719" s="9"/>
      <c r="I719" s="11"/>
      <c r="J719" s="9"/>
      <c r="K719" s="9"/>
    </row>
    <row r="720" spans="3:11" x14ac:dyDescent="0.2">
      <c r="C720" s="9"/>
      <c r="I720" s="11"/>
      <c r="J720" s="9"/>
      <c r="K720" s="9"/>
    </row>
    <row r="721" spans="3:11" x14ac:dyDescent="0.2">
      <c r="C721" s="9"/>
      <c r="I721" s="11"/>
      <c r="J721" s="9"/>
      <c r="K721" s="9"/>
    </row>
    <row r="722" spans="3:11" x14ac:dyDescent="0.2">
      <c r="C722" s="9"/>
      <c r="I722" s="11"/>
      <c r="J722" s="9"/>
      <c r="K722" s="9"/>
    </row>
    <row r="723" spans="3:11" x14ac:dyDescent="0.2">
      <c r="C723" s="9"/>
      <c r="I723" s="11"/>
      <c r="J723" s="9"/>
      <c r="K723" s="9"/>
    </row>
    <row r="724" spans="3:11" x14ac:dyDescent="0.2">
      <c r="C724" s="9"/>
      <c r="I724" s="11"/>
      <c r="J724" s="9"/>
      <c r="K724" s="9"/>
    </row>
    <row r="725" spans="3:11" x14ac:dyDescent="0.2">
      <c r="C725" s="9"/>
      <c r="I725" s="11"/>
      <c r="J725" s="9"/>
      <c r="K725" s="9"/>
    </row>
    <row r="726" spans="3:11" x14ac:dyDescent="0.2">
      <c r="C726" s="9"/>
      <c r="I726" s="11"/>
      <c r="J726" s="9"/>
      <c r="K726" s="9"/>
    </row>
    <row r="727" spans="3:11" x14ac:dyDescent="0.2">
      <c r="C727" s="9"/>
      <c r="I727" s="11"/>
      <c r="J727" s="9"/>
      <c r="K727" s="9"/>
    </row>
    <row r="728" spans="3:11" x14ac:dyDescent="0.2">
      <c r="C728" s="9"/>
      <c r="I728" s="11"/>
      <c r="J728" s="9"/>
      <c r="K728" s="9"/>
    </row>
    <row r="729" spans="3:11" x14ac:dyDescent="0.2">
      <c r="C729" s="9"/>
      <c r="I729" s="11"/>
      <c r="J729" s="9"/>
      <c r="K729" s="9"/>
    </row>
    <row r="730" spans="3:11" x14ac:dyDescent="0.2">
      <c r="C730" s="9"/>
      <c r="I730" s="11"/>
      <c r="J730" s="9"/>
      <c r="K730" s="9"/>
    </row>
    <row r="731" spans="3:11" x14ac:dyDescent="0.2">
      <c r="C731" s="9"/>
      <c r="I731" s="11"/>
      <c r="J731" s="9"/>
      <c r="K731" s="9"/>
    </row>
    <row r="732" spans="3:11" x14ac:dyDescent="0.2">
      <c r="C732" s="9"/>
      <c r="I732" s="11"/>
      <c r="J732" s="9"/>
      <c r="K732" s="9"/>
    </row>
    <row r="733" spans="3:11" x14ac:dyDescent="0.2">
      <c r="C733" s="9"/>
      <c r="I733" s="11"/>
      <c r="J733" s="9"/>
      <c r="K733" s="9"/>
    </row>
    <row r="734" spans="3:11" x14ac:dyDescent="0.2">
      <c r="C734" s="9"/>
      <c r="I734" s="11"/>
      <c r="J734" s="9"/>
      <c r="K734" s="9"/>
    </row>
    <row r="735" spans="3:11" x14ac:dyDescent="0.2">
      <c r="C735" s="9"/>
      <c r="I735" s="11"/>
      <c r="J735" s="9"/>
      <c r="K735" s="9"/>
    </row>
    <row r="736" spans="3:11" x14ac:dyDescent="0.2">
      <c r="C736" s="9"/>
      <c r="I736" s="11"/>
      <c r="J736" s="9"/>
      <c r="K736" s="9"/>
    </row>
    <row r="737" spans="3:11" x14ac:dyDescent="0.2">
      <c r="C737" s="9"/>
      <c r="I737" s="11"/>
      <c r="J737" s="9"/>
      <c r="K737" s="9"/>
    </row>
    <row r="738" spans="3:11" x14ac:dyDescent="0.2">
      <c r="C738" s="9"/>
      <c r="I738" s="11"/>
      <c r="J738" s="9"/>
      <c r="K738" s="9"/>
    </row>
    <row r="739" spans="3:11" x14ac:dyDescent="0.2">
      <c r="C739" s="9"/>
      <c r="I739" s="11"/>
      <c r="J739" s="9"/>
      <c r="K739" s="9"/>
    </row>
    <row r="740" spans="3:11" x14ac:dyDescent="0.2">
      <c r="C740" s="9"/>
      <c r="I740" s="11"/>
      <c r="J740" s="9"/>
      <c r="K740" s="9"/>
    </row>
    <row r="741" spans="3:11" x14ac:dyDescent="0.2">
      <c r="C741" s="9"/>
      <c r="I741" s="11"/>
      <c r="J741" s="9"/>
      <c r="K741" s="9"/>
    </row>
    <row r="742" spans="3:11" x14ac:dyDescent="0.2">
      <c r="C742" s="9"/>
      <c r="I742" s="11"/>
      <c r="J742" s="9"/>
      <c r="K742" s="9"/>
    </row>
    <row r="743" spans="3:11" x14ac:dyDescent="0.2">
      <c r="C743" s="9"/>
      <c r="I743" s="11"/>
      <c r="J743" s="9"/>
      <c r="K743" s="9"/>
    </row>
    <row r="744" spans="3:11" x14ac:dyDescent="0.2">
      <c r="C744" s="9"/>
      <c r="I744" s="11"/>
      <c r="J744" s="9"/>
      <c r="K744" s="9"/>
    </row>
    <row r="745" spans="3:11" x14ac:dyDescent="0.2">
      <c r="C745" s="9"/>
      <c r="I745" s="11"/>
      <c r="J745" s="9"/>
      <c r="K745" s="9"/>
    </row>
    <row r="746" spans="3:11" x14ac:dyDescent="0.2">
      <c r="C746" s="9"/>
      <c r="I746" s="11"/>
      <c r="J746" s="9"/>
      <c r="K746" s="9"/>
    </row>
    <row r="747" spans="3:11" x14ac:dyDescent="0.2">
      <c r="C747" s="9"/>
      <c r="I747" s="11"/>
      <c r="J747" s="9"/>
      <c r="K747" s="9"/>
    </row>
    <row r="748" spans="3:11" x14ac:dyDescent="0.2">
      <c r="C748" s="9"/>
      <c r="I748" s="11"/>
      <c r="J748" s="9"/>
      <c r="K748" s="9"/>
    </row>
    <row r="749" spans="3:11" x14ac:dyDescent="0.2">
      <c r="C749" s="9"/>
      <c r="I749" s="11"/>
      <c r="J749" s="9"/>
      <c r="K749" s="9"/>
    </row>
    <row r="750" spans="3:11" x14ac:dyDescent="0.2">
      <c r="C750" s="9"/>
      <c r="I750" s="11"/>
      <c r="J750" s="9"/>
      <c r="K750" s="9"/>
    </row>
    <row r="751" spans="3:11" x14ac:dyDescent="0.2">
      <c r="C751" s="9"/>
      <c r="I751" s="11"/>
      <c r="J751" s="9"/>
      <c r="K751" s="9"/>
    </row>
    <row r="752" spans="3:11" x14ac:dyDescent="0.2">
      <c r="C752" s="9"/>
      <c r="I752" s="11"/>
      <c r="J752" s="9"/>
      <c r="K752" s="9"/>
    </row>
    <row r="753" spans="3:11" x14ac:dyDescent="0.2">
      <c r="C753" s="9"/>
      <c r="I753" s="11"/>
      <c r="J753" s="9"/>
      <c r="K753" s="9"/>
    </row>
    <row r="754" spans="3:11" x14ac:dyDescent="0.2">
      <c r="C754" s="9"/>
      <c r="I754" s="11"/>
      <c r="J754" s="9"/>
      <c r="K754" s="9"/>
    </row>
    <row r="755" spans="3:11" x14ac:dyDescent="0.2">
      <c r="C755" s="9"/>
      <c r="I755" s="11"/>
      <c r="J755" s="9"/>
      <c r="K755" s="9"/>
    </row>
    <row r="756" spans="3:11" x14ac:dyDescent="0.2">
      <c r="C756" s="9"/>
      <c r="I756" s="11"/>
      <c r="J756" s="9"/>
      <c r="K756" s="9"/>
    </row>
    <row r="757" spans="3:11" x14ac:dyDescent="0.2">
      <c r="C757" s="9"/>
      <c r="I757" s="11"/>
      <c r="J757" s="9"/>
      <c r="K757" s="9"/>
    </row>
    <row r="758" spans="3:11" x14ac:dyDescent="0.2">
      <c r="C758" s="9"/>
      <c r="I758" s="11"/>
      <c r="J758" s="9"/>
      <c r="K758" s="9"/>
    </row>
    <row r="759" spans="3:11" x14ac:dyDescent="0.2">
      <c r="C759" s="9"/>
      <c r="I759" s="11"/>
      <c r="J759" s="9"/>
      <c r="K759" s="9"/>
    </row>
    <row r="760" spans="3:11" x14ac:dyDescent="0.2">
      <c r="C760" s="9"/>
      <c r="I760" s="11"/>
      <c r="J760" s="9"/>
      <c r="K760" s="9"/>
    </row>
    <row r="761" spans="3:11" x14ac:dyDescent="0.2">
      <c r="C761" s="9"/>
      <c r="I761" s="11"/>
      <c r="J761" s="9"/>
      <c r="K761" s="9"/>
    </row>
    <row r="762" spans="3:11" x14ac:dyDescent="0.2">
      <c r="C762" s="9"/>
      <c r="I762" s="11"/>
      <c r="J762" s="9"/>
      <c r="K762" s="9"/>
    </row>
    <row r="763" spans="3:11" x14ac:dyDescent="0.2">
      <c r="C763" s="9"/>
      <c r="I763" s="11"/>
      <c r="J763" s="9"/>
      <c r="K763" s="9"/>
    </row>
    <row r="764" spans="3:11" x14ac:dyDescent="0.2">
      <c r="C764" s="9"/>
      <c r="I764" s="11"/>
      <c r="J764" s="9"/>
      <c r="K764" s="9"/>
    </row>
    <row r="765" spans="3:11" x14ac:dyDescent="0.2">
      <c r="C765" s="9"/>
      <c r="I765" s="11"/>
      <c r="J765" s="9"/>
      <c r="K765" s="9"/>
    </row>
    <row r="766" spans="3:11" x14ac:dyDescent="0.2">
      <c r="C766" s="9"/>
      <c r="I766" s="11"/>
      <c r="J766" s="9"/>
      <c r="K766" s="9"/>
    </row>
    <row r="767" spans="3:11" x14ac:dyDescent="0.2">
      <c r="C767" s="9"/>
      <c r="I767" s="11"/>
      <c r="J767" s="9"/>
      <c r="K767" s="9"/>
    </row>
    <row r="768" spans="3:11" x14ac:dyDescent="0.2">
      <c r="C768" s="9"/>
      <c r="I768" s="11"/>
      <c r="J768" s="9"/>
      <c r="K768" s="9"/>
    </row>
    <row r="769" spans="3:11" x14ac:dyDescent="0.2">
      <c r="C769" s="9"/>
      <c r="I769" s="11"/>
      <c r="J769" s="9"/>
      <c r="K769" s="9"/>
    </row>
    <row r="770" spans="3:11" x14ac:dyDescent="0.2">
      <c r="C770" s="9"/>
      <c r="I770" s="11"/>
      <c r="J770" s="9"/>
      <c r="K770" s="9"/>
    </row>
    <row r="771" spans="3:11" x14ac:dyDescent="0.2">
      <c r="C771" s="9"/>
      <c r="I771" s="11"/>
      <c r="J771" s="9"/>
      <c r="K771" s="9"/>
    </row>
    <row r="772" spans="3:11" x14ac:dyDescent="0.2">
      <c r="C772" s="9"/>
      <c r="I772" s="11"/>
      <c r="J772" s="9"/>
      <c r="K772" s="9"/>
    </row>
    <row r="773" spans="3:11" x14ac:dyDescent="0.2">
      <c r="C773" s="9"/>
      <c r="I773" s="11"/>
      <c r="J773" s="9"/>
      <c r="K773" s="9"/>
    </row>
    <row r="774" spans="3:11" x14ac:dyDescent="0.2">
      <c r="C774" s="9"/>
      <c r="I774" s="11"/>
      <c r="J774" s="9"/>
      <c r="K774" s="9"/>
    </row>
    <row r="775" spans="3:11" x14ac:dyDescent="0.2">
      <c r="C775" s="9"/>
      <c r="I775" s="11"/>
      <c r="J775" s="9"/>
      <c r="K775" s="9"/>
    </row>
    <row r="776" spans="3:11" x14ac:dyDescent="0.2">
      <c r="C776" s="9"/>
      <c r="I776" s="11"/>
      <c r="J776" s="9"/>
      <c r="K776" s="9"/>
    </row>
    <row r="777" spans="3:11" x14ac:dyDescent="0.2">
      <c r="C777" s="9"/>
      <c r="I777" s="11"/>
      <c r="J777" s="9"/>
      <c r="K777" s="9"/>
    </row>
    <row r="778" spans="3:11" x14ac:dyDescent="0.2">
      <c r="C778" s="9"/>
      <c r="I778" s="11"/>
      <c r="J778" s="9"/>
      <c r="K778" s="9"/>
    </row>
    <row r="779" spans="3:11" x14ac:dyDescent="0.2">
      <c r="C779" s="9"/>
      <c r="I779" s="11"/>
      <c r="J779" s="9"/>
      <c r="K779" s="9"/>
    </row>
    <row r="780" spans="3:11" x14ac:dyDescent="0.2">
      <c r="C780" s="9"/>
      <c r="I780" s="11"/>
      <c r="J780" s="9"/>
      <c r="K780" s="9"/>
    </row>
    <row r="781" spans="3:11" x14ac:dyDescent="0.2">
      <c r="C781" s="9"/>
      <c r="I781" s="11"/>
      <c r="J781" s="9"/>
      <c r="K781" s="9"/>
    </row>
    <row r="782" spans="3:11" x14ac:dyDescent="0.2">
      <c r="C782" s="9"/>
      <c r="I782" s="11"/>
      <c r="J782" s="9"/>
      <c r="K782" s="9"/>
    </row>
    <row r="783" spans="3:11" x14ac:dyDescent="0.2">
      <c r="C783" s="9"/>
      <c r="I783" s="11"/>
      <c r="J783" s="9"/>
      <c r="K783" s="9"/>
    </row>
    <row r="784" spans="3:11" x14ac:dyDescent="0.2">
      <c r="C784" s="9"/>
      <c r="I784" s="11"/>
      <c r="J784" s="9"/>
      <c r="K784" s="9"/>
    </row>
    <row r="785" spans="3:11" x14ac:dyDescent="0.2">
      <c r="C785" s="9"/>
      <c r="I785" s="11"/>
      <c r="J785" s="9"/>
      <c r="K785" s="9"/>
    </row>
    <row r="786" spans="3:11" x14ac:dyDescent="0.2">
      <c r="C786" s="9"/>
      <c r="I786" s="11"/>
      <c r="J786" s="9"/>
      <c r="K786" s="9"/>
    </row>
    <row r="787" spans="3:11" x14ac:dyDescent="0.2">
      <c r="C787" s="9"/>
      <c r="I787" s="11"/>
      <c r="J787" s="9"/>
      <c r="K787" s="9"/>
    </row>
    <row r="788" spans="3:11" x14ac:dyDescent="0.2">
      <c r="C788" s="9"/>
      <c r="I788" s="11"/>
      <c r="J788" s="9"/>
      <c r="K788" s="9"/>
    </row>
    <row r="789" spans="3:11" x14ac:dyDescent="0.2">
      <c r="C789" s="9"/>
      <c r="I789" s="11"/>
      <c r="J789" s="9"/>
      <c r="K789" s="9"/>
    </row>
    <row r="790" spans="3:11" x14ac:dyDescent="0.2">
      <c r="C790" s="9"/>
      <c r="I790" s="11"/>
      <c r="J790" s="9"/>
      <c r="K790" s="9"/>
    </row>
    <row r="791" spans="3:11" x14ac:dyDescent="0.2">
      <c r="C791" s="9"/>
      <c r="I791" s="11"/>
      <c r="J791" s="9"/>
      <c r="K791" s="9"/>
    </row>
    <row r="792" spans="3:11" x14ac:dyDescent="0.2">
      <c r="C792" s="9"/>
      <c r="I792" s="11"/>
      <c r="J792" s="9"/>
      <c r="K792" s="9"/>
    </row>
    <row r="793" spans="3:11" x14ac:dyDescent="0.2">
      <c r="C793" s="9"/>
      <c r="I793" s="11"/>
      <c r="J793" s="9"/>
      <c r="K793" s="9"/>
    </row>
    <row r="794" spans="3:11" x14ac:dyDescent="0.2">
      <c r="C794" s="9"/>
      <c r="I794" s="11"/>
      <c r="J794" s="9"/>
      <c r="K794" s="9"/>
    </row>
    <row r="795" spans="3:11" x14ac:dyDescent="0.2">
      <c r="C795" s="9"/>
      <c r="I795" s="11"/>
      <c r="J795" s="9"/>
      <c r="K795" s="9"/>
    </row>
    <row r="796" spans="3:11" x14ac:dyDescent="0.2">
      <c r="C796" s="9"/>
      <c r="I796" s="11"/>
      <c r="J796" s="9"/>
      <c r="K796" s="9"/>
    </row>
    <row r="797" spans="3:11" x14ac:dyDescent="0.2">
      <c r="C797" s="9"/>
      <c r="I797" s="11"/>
      <c r="J797" s="9"/>
      <c r="K797" s="9"/>
    </row>
    <row r="798" spans="3:11" x14ac:dyDescent="0.2">
      <c r="C798" s="9"/>
      <c r="I798" s="11"/>
      <c r="J798" s="9"/>
      <c r="K798" s="9"/>
    </row>
    <row r="799" spans="3:11" x14ac:dyDescent="0.2">
      <c r="C799" s="9"/>
      <c r="I799" s="11"/>
      <c r="J799" s="9"/>
      <c r="K799" s="9"/>
    </row>
    <row r="800" spans="3:11" x14ac:dyDescent="0.2">
      <c r="C800" s="9"/>
      <c r="I800" s="11"/>
      <c r="J800" s="9"/>
      <c r="K800" s="9"/>
    </row>
    <row r="801" spans="3:11" x14ac:dyDescent="0.2">
      <c r="C801" s="9"/>
      <c r="I801" s="11"/>
      <c r="J801" s="9"/>
      <c r="K801" s="9"/>
    </row>
    <row r="802" spans="3:11" x14ac:dyDescent="0.2">
      <c r="C802" s="9"/>
      <c r="I802" s="11"/>
      <c r="J802" s="9"/>
      <c r="K802" s="9"/>
    </row>
    <row r="803" spans="3:11" x14ac:dyDescent="0.2">
      <c r="C803" s="9"/>
      <c r="I803" s="11"/>
      <c r="J803" s="9"/>
      <c r="K803" s="9"/>
    </row>
    <row r="804" spans="3:11" x14ac:dyDescent="0.2">
      <c r="C804" s="9"/>
      <c r="I804" s="11"/>
      <c r="J804" s="9"/>
      <c r="K804" s="9"/>
    </row>
    <row r="805" spans="3:11" x14ac:dyDescent="0.2">
      <c r="C805" s="9"/>
      <c r="I805" s="11"/>
      <c r="J805" s="9"/>
      <c r="K805" s="9"/>
    </row>
    <row r="806" spans="3:11" x14ac:dyDescent="0.2">
      <c r="C806" s="9"/>
      <c r="I806" s="11"/>
      <c r="J806" s="9"/>
      <c r="K806" s="9"/>
    </row>
    <row r="807" spans="3:11" x14ac:dyDescent="0.2">
      <c r="C807" s="9"/>
      <c r="I807" s="11"/>
      <c r="J807" s="9"/>
      <c r="K807" s="9"/>
    </row>
    <row r="808" spans="3:11" x14ac:dyDescent="0.2">
      <c r="C808" s="9"/>
      <c r="I808" s="11"/>
      <c r="J808" s="9"/>
      <c r="K808" s="9"/>
    </row>
    <row r="809" spans="3:11" x14ac:dyDescent="0.2">
      <c r="C809" s="9"/>
      <c r="I809" s="11"/>
      <c r="J809" s="9"/>
      <c r="K809" s="9"/>
    </row>
    <row r="810" spans="3:11" x14ac:dyDescent="0.2">
      <c r="C810" s="9"/>
      <c r="I810" s="11"/>
      <c r="J810" s="9"/>
      <c r="K810" s="9"/>
    </row>
    <row r="811" spans="3:11" x14ac:dyDescent="0.2">
      <c r="C811" s="9"/>
      <c r="I811" s="11"/>
      <c r="J811" s="9"/>
      <c r="K811" s="9"/>
    </row>
    <row r="812" spans="3:11" x14ac:dyDescent="0.2">
      <c r="C812" s="9"/>
      <c r="I812" s="11"/>
      <c r="J812" s="9"/>
      <c r="K812" s="9"/>
    </row>
    <row r="813" spans="3:11" x14ac:dyDescent="0.2">
      <c r="C813" s="9"/>
      <c r="I813" s="11"/>
      <c r="J813" s="9"/>
      <c r="K813" s="9"/>
    </row>
    <row r="814" spans="3:11" x14ac:dyDescent="0.2">
      <c r="C814" s="9"/>
      <c r="I814" s="11"/>
      <c r="J814" s="9"/>
      <c r="K814" s="9"/>
    </row>
    <row r="815" spans="3:11" x14ac:dyDescent="0.2">
      <c r="C815" s="9"/>
      <c r="I815" s="11"/>
      <c r="J815" s="9"/>
      <c r="K815" s="9"/>
    </row>
    <row r="816" spans="3:11" x14ac:dyDescent="0.2">
      <c r="C816" s="9"/>
      <c r="I816" s="11"/>
      <c r="J816" s="9"/>
      <c r="K816" s="9"/>
    </row>
    <row r="817" spans="3:11" x14ac:dyDescent="0.2">
      <c r="C817" s="9"/>
      <c r="I817" s="11"/>
      <c r="J817" s="9"/>
      <c r="K817" s="9"/>
    </row>
    <row r="818" spans="3:11" x14ac:dyDescent="0.2">
      <c r="C818" s="9"/>
      <c r="I818" s="11"/>
      <c r="J818" s="9"/>
      <c r="K818" s="9"/>
    </row>
    <row r="819" spans="3:11" x14ac:dyDescent="0.2">
      <c r="C819" s="9"/>
      <c r="I819" s="11"/>
      <c r="J819" s="9"/>
      <c r="K819" s="9"/>
    </row>
    <row r="820" spans="3:11" x14ac:dyDescent="0.2">
      <c r="C820" s="9"/>
      <c r="I820" s="11"/>
      <c r="J820" s="9"/>
      <c r="K820" s="9"/>
    </row>
    <row r="821" spans="3:11" x14ac:dyDescent="0.2">
      <c r="C821" s="9"/>
      <c r="I821" s="11"/>
      <c r="J821" s="9"/>
      <c r="K821" s="9"/>
    </row>
    <row r="822" spans="3:11" x14ac:dyDescent="0.2">
      <c r="C822" s="9"/>
      <c r="I822" s="11"/>
      <c r="J822" s="9"/>
      <c r="K822" s="9"/>
    </row>
    <row r="823" spans="3:11" x14ac:dyDescent="0.2">
      <c r="C823" s="9"/>
      <c r="I823" s="11"/>
      <c r="J823" s="9"/>
      <c r="K823" s="9"/>
    </row>
    <row r="824" spans="3:11" x14ac:dyDescent="0.2">
      <c r="C824" s="9"/>
      <c r="I824" s="11"/>
      <c r="J824" s="9"/>
      <c r="K824" s="9"/>
    </row>
    <row r="825" spans="3:11" x14ac:dyDescent="0.2">
      <c r="C825" s="9"/>
      <c r="I825" s="11"/>
      <c r="J825" s="9"/>
      <c r="K825" s="9"/>
    </row>
    <row r="826" spans="3:11" x14ac:dyDescent="0.2">
      <c r="C826" s="9"/>
      <c r="I826" s="11"/>
      <c r="J826" s="9"/>
      <c r="K826" s="9"/>
    </row>
    <row r="827" spans="3:11" x14ac:dyDescent="0.2">
      <c r="C827" s="9"/>
      <c r="I827" s="11"/>
      <c r="J827" s="9"/>
      <c r="K827" s="9"/>
    </row>
    <row r="828" spans="3:11" x14ac:dyDescent="0.2">
      <c r="C828" s="9"/>
      <c r="I828" s="11"/>
      <c r="J828" s="9"/>
      <c r="K828" s="9"/>
    </row>
    <row r="829" spans="3:11" x14ac:dyDescent="0.2">
      <c r="C829" s="9"/>
      <c r="I829" s="11"/>
      <c r="J829" s="9"/>
      <c r="K829" s="9"/>
    </row>
    <row r="830" spans="3:11" x14ac:dyDescent="0.2">
      <c r="C830" s="9"/>
      <c r="I830" s="11"/>
      <c r="J830" s="9"/>
      <c r="K830" s="9"/>
    </row>
    <row r="831" spans="3:11" x14ac:dyDescent="0.2">
      <c r="C831" s="9"/>
      <c r="I831" s="11"/>
      <c r="J831" s="9"/>
      <c r="K831" s="9"/>
    </row>
    <row r="832" spans="3:11" x14ac:dyDescent="0.2">
      <c r="C832" s="9"/>
      <c r="I832" s="11"/>
      <c r="J832" s="9"/>
      <c r="K832" s="9"/>
    </row>
    <row r="833" spans="3:11" x14ac:dyDescent="0.2">
      <c r="C833" s="9"/>
      <c r="I833" s="11"/>
      <c r="J833" s="9"/>
      <c r="K833" s="9"/>
    </row>
    <row r="834" spans="3:11" x14ac:dyDescent="0.2">
      <c r="C834" s="9"/>
      <c r="I834" s="11"/>
      <c r="J834" s="9"/>
      <c r="K834" s="9"/>
    </row>
    <row r="835" spans="3:11" x14ac:dyDescent="0.2">
      <c r="C835" s="9"/>
      <c r="I835" s="11"/>
      <c r="J835" s="9"/>
      <c r="K835" s="9"/>
    </row>
    <row r="836" spans="3:11" x14ac:dyDescent="0.2">
      <c r="C836" s="9"/>
      <c r="I836" s="11"/>
      <c r="J836" s="9"/>
      <c r="K836" s="9"/>
    </row>
    <row r="837" spans="3:11" x14ac:dyDescent="0.2">
      <c r="C837" s="9"/>
      <c r="I837" s="11"/>
      <c r="J837" s="9"/>
      <c r="K837" s="9"/>
    </row>
    <row r="838" spans="3:11" x14ac:dyDescent="0.2">
      <c r="C838" s="9"/>
      <c r="I838" s="11"/>
      <c r="J838" s="9"/>
      <c r="K838" s="9"/>
    </row>
    <row r="839" spans="3:11" x14ac:dyDescent="0.2">
      <c r="C839" s="9"/>
      <c r="I839" s="11"/>
      <c r="J839" s="9"/>
      <c r="K839" s="9"/>
    </row>
    <row r="840" spans="3:11" x14ac:dyDescent="0.2">
      <c r="C840" s="9"/>
      <c r="I840" s="11"/>
      <c r="J840" s="9"/>
      <c r="K840" s="9"/>
    </row>
    <row r="841" spans="3:11" x14ac:dyDescent="0.2">
      <c r="C841" s="9"/>
      <c r="I841" s="11"/>
      <c r="J841" s="9"/>
      <c r="K841" s="9"/>
    </row>
    <row r="842" spans="3:11" x14ac:dyDescent="0.2">
      <c r="C842" s="9"/>
      <c r="I842" s="11"/>
      <c r="J842" s="9"/>
      <c r="K842" s="9"/>
    </row>
    <row r="843" spans="3:11" x14ac:dyDescent="0.2">
      <c r="C843" s="9"/>
      <c r="I843" s="11"/>
      <c r="J843" s="9"/>
      <c r="K843" s="9"/>
    </row>
    <row r="844" spans="3:11" x14ac:dyDescent="0.2">
      <c r="C844" s="9"/>
      <c r="I844" s="11"/>
      <c r="J844" s="9"/>
      <c r="K844" s="9"/>
    </row>
    <row r="845" spans="3:11" x14ac:dyDescent="0.2">
      <c r="C845" s="9"/>
      <c r="I845" s="11"/>
      <c r="J845" s="9"/>
      <c r="K845" s="9"/>
    </row>
    <row r="846" spans="3:11" x14ac:dyDescent="0.2">
      <c r="C846" s="9"/>
      <c r="I846" s="11"/>
      <c r="J846" s="9"/>
      <c r="K846" s="9"/>
    </row>
    <row r="847" spans="3:11" x14ac:dyDescent="0.2">
      <c r="C847" s="9"/>
      <c r="I847" s="11"/>
      <c r="J847" s="9"/>
      <c r="K847" s="9"/>
    </row>
    <row r="848" spans="3:11" x14ac:dyDescent="0.2">
      <c r="C848" s="9"/>
      <c r="I848" s="11"/>
      <c r="J848" s="9"/>
      <c r="K848" s="9"/>
    </row>
    <row r="849" spans="3:11" x14ac:dyDescent="0.2">
      <c r="C849" s="9"/>
      <c r="I849" s="11"/>
      <c r="J849" s="9"/>
      <c r="K849" s="9"/>
    </row>
    <row r="850" spans="3:11" x14ac:dyDescent="0.2">
      <c r="C850" s="9"/>
      <c r="I850" s="11"/>
      <c r="J850" s="9"/>
      <c r="K850" s="9"/>
    </row>
    <row r="851" spans="3:11" x14ac:dyDescent="0.2">
      <c r="C851" s="9"/>
      <c r="I851" s="11"/>
      <c r="J851" s="9"/>
      <c r="K851" s="9"/>
    </row>
    <row r="852" spans="3:11" x14ac:dyDescent="0.2">
      <c r="C852" s="9"/>
      <c r="I852" s="11"/>
      <c r="J852" s="9"/>
      <c r="K852" s="9"/>
    </row>
    <row r="853" spans="3:11" x14ac:dyDescent="0.2">
      <c r="C853" s="9"/>
      <c r="I853" s="11"/>
      <c r="J853" s="9"/>
      <c r="K853" s="9"/>
    </row>
    <row r="854" spans="3:11" x14ac:dyDescent="0.2">
      <c r="C854" s="9"/>
      <c r="I854" s="11"/>
      <c r="J854" s="9"/>
      <c r="K854" s="9"/>
    </row>
    <row r="855" spans="3:11" x14ac:dyDescent="0.2">
      <c r="C855" s="9"/>
      <c r="I855" s="11"/>
      <c r="J855" s="9"/>
      <c r="K855" s="9"/>
    </row>
    <row r="856" spans="3:11" x14ac:dyDescent="0.2">
      <c r="C856" s="9"/>
      <c r="I856" s="11"/>
      <c r="J856" s="9"/>
      <c r="K856" s="9"/>
    </row>
    <row r="857" spans="3:11" x14ac:dyDescent="0.2">
      <c r="C857" s="9"/>
      <c r="I857" s="11"/>
      <c r="J857" s="9"/>
      <c r="K857" s="9"/>
    </row>
    <row r="858" spans="3:11" x14ac:dyDescent="0.2">
      <c r="C858" s="9"/>
      <c r="I858" s="11"/>
      <c r="J858" s="9"/>
      <c r="K858" s="9"/>
    </row>
    <row r="859" spans="3:11" x14ac:dyDescent="0.2">
      <c r="C859" s="9"/>
      <c r="I859" s="11"/>
      <c r="J859" s="9"/>
      <c r="K859" s="9"/>
    </row>
    <row r="860" spans="3:11" x14ac:dyDescent="0.2">
      <c r="C860" s="9"/>
      <c r="I860" s="11"/>
      <c r="J860" s="9"/>
      <c r="K860" s="9"/>
    </row>
    <row r="861" spans="3:11" x14ac:dyDescent="0.2">
      <c r="C861" s="9"/>
      <c r="I861" s="11"/>
      <c r="J861" s="9"/>
      <c r="K861" s="9"/>
    </row>
    <row r="862" spans="3:11" x14ac:dyDescent="0.2">
      <c r="C862" s="9"/>
      <c r="I862" s="11"/>
      <c r="J862" s="9"/>
      <c r="K862" s="9"/>
    </row>
    <row r="863" spans="3:11" x14ac:dyDescent="0.2">
      <c r="C863" s="9"/>
      <c r="I863" s="11"/>
      <c r="J863" s="9"/>
      <c r="K863" s="9"/>
    </row>
    <row r="864" spans="3:11" x14ac:dyDescent="0.2">
      <c r="C864" s="9"/>
      <c r="I864" s="11"/>
      <c r="J864" s="9"/>
      <c r="K864" s="9"/>
    </row>
    <row r="865" spans="3:11" x14ac:dyDescent="0.2">
      <c r="C865" s="9"/>
      <c r="I865" s="11"/>
      <c r="J865" s="9"/>
      <c r="K865" s="9"/>
    </row>
    <row r="866" spans="3:11" x14ac:dyDescent="0.2">
      <c r="C866" s="9"/>
      <c r="I866" s="11"/>
      <c r="J866" s="9"/>
      <c r="K866" s="9"/>
    </row>
    <row r="867" spans="3:11" x14ac:dyDescent="0.2">
      <c r="C867" s="9"/>
      <c r="I867" s="11"/>
      <c r="J867" s="9"/>
      <c r="K867" s="9"/>
    </row>
    <row r="868" spans="3:11" x14ac:dyDescent="0.2">
      <c r="C868" s="9"/>
      <c r="I868" s="11"/>
      <c r="J868" s="9"/>
      <c r="K868" s="9"/>
    </row>
    <row r="869" spans="3:11" x14ac:dyDescent="0.2">
      <c r="C869" s="9"/>
      <c r="I869" s="11"/>
      <c r="J869" s="9"/>
      <c r="K869" s="9"/>
    </row>
    <row r="870" spans="3:11" x14ac:dyDescent="0.2">
      <c r="C870" s="9"/>
      <c r="I870" s="11"/>
      <c r="J870" s="9"/>
      <c r="K870" s="9"/>
    </row>
    <row r="871" spans="3:11" x14ac:dyDescent="0.2">
      <c r="C871" s="9"/>
      <c r="I871" s="11"/>
      <c r="J871" s="9"/>
      <c r="K871" s="9"/>
    </row>
    <row r="872" spans="3:11" x14ac:dyDescent="0.2">
      <c r="C872" s="9"/>
      <c r="I872" s="11"/>
      <c r="J872" s="9"/>
      <c r="K872" s="9"/>
    </row>
    <row r="873" spans="3:11" x14ac:dyDescent="0.2">
      <c r="C873" s="9"/>
      <c r="I873" s="11"/>
      <c r="J873" s="9"/>
      <c r="K873" s="9"/>
    </row>
    <row r="874" spans="3:11" x14ac:dyDescent="0.2">
      <c r="C874" s="9"/>
      <c r="I874" s="11"/>
      <c r="J874" s="9"/>
      <c r="K874" s="9"/>
    </row>
    <row r="875" spans="3:11" x14ac:dyDescent="0.2">
      <c r="C875" s="9"/>
      <c r="I875" s="11"/>
      <c r="J875" s="9"/>
      <c r="K875" s="9"/>
    </row>
    <row r="876" spans="3:11" x14ac:dyDescent="0.2">
      <c r="C876" s="9"/>
      <c r="I876" s="11"/>
      <c r="J876" s="9"/>
      <c r="K876" s="9"/>
    </row>
    <row r="877" spans="3:11" x14ac:dyDescent="0.2">
      <c r="C877" s="9"/>
      <c r="I877" s="11"/>
      <c r="J877" s="9"/>
      <c r="K877" s="9"/>
    </row>
    <row r="878" spans="3:11" x14ac:dyDescent="0.2">
      <c r="C878" s="9"/>
      <c r="I878" s="11"/>
      <c r="J878" s="9"/>
      <c r="K878" s="9"/>
    </row>
    <row r="879" spans="3:11" x14ac:dyDescent="0.2">
      <c r="C879" s="9"/>
      <c r="I879" s="11"/>
      <c r="J879" s="9"/>
      <c r="K879" s="9"/>
    </row>
    <row r="880" spans="3:11" x14ac:dyDescent="0.2">
      <c r="C880" s="9"/>
      <c r="I880" s="11"/>
      <c r="J880" s="9"/>
      <c r="K880" s="9"/>
    </row>
    <row r="881" spans="3:11" x14ac:dyDescent="0.2">
      <c r="C881" s="9"/>
      <c r="I881" s="11"/>
      <c r="J881" s="9"/>
      <c r="K881" s="9"/>
    </row>
    <row r="882" spans="3:11" x14ac:dyDescent="0.2">
      <c r="C882" s="9"/>
      <c r="I882" s="11"/>
      <c r="J882" s="9"/>
      <c r="K882" s="9"/>
    </row>
    <row r="883" spans="3:11" x14ac:dyDescent="0.2">
      <c r="C883" s="9"/>
      <c r="I883" s="11"/>
      <c r="J883" s="9"/>
      <c r="K883" s="9"/>
    </row>
    <row r="884" spans="3:11" x14ac:dyDescent="0.2">
      <c r="C884" s="9"/>
      <c r="I884" s="11"/>
      <c r="J884" s="9"/>
      <c r="K884" s="9"/>
    </row>
    <row r="885" spans="3:11" x14ac:dyDescent="0.2">
      <c r="C885" s="9"/>
      <c r="I885" s="11"/>
      <c r="J885" s="9"/>
      <c r="K885" s="9"/>
    </row>
    <row r="886" spans="3:11" x14ac:dyDescent="0.2">
      <c r="C886" s="9"/>
      <c r="I886" s="11"/>
      <c r="J886" s="9"/>
      <c r="K886" s="9"/>
    </row>
    <row r="887" spans="3:11" x14ac:dyDescent="0.2">
      <c r="C887" s="9"/>
      <c r="I887" s="11"/>
      <c r="J887" s="9"/>
      <c r="K887" s="9"/>
    </row>
    <row r="888" spans="3:11" x14ac:dyDescent="0.2">
      <c r="C888" s="9"/>
      <c r="I888" s="11"/>
      <c r="J888" s="9"/>
      <c r="K888" s="9"/>
    </row>
    <row r="889" spans="3:11" x14ac:dyDescent="0.2">
      <c r="C889" s="9"/>
      <c r="I889" s="11"/>
      <c r="J889" s="9"/>
      <c r="K889" s="9"/>
    </row>
    <row r="890" spans="3:11" x14ac:dyDescent="0.2">
      <c r="C890" s="9"/>
      <c r="I890" s="11"/>
      <c r="J890" s="9"/>
      <c r="K890" s="9"/>
    </row>
    <row r="891" spans="3:11" x14ac:dyDescent="0.2">
      <c r="C891" s="9"/>
      <c r="I891" s="11"/>
      <c r="J891" s="9"/>
      <c r="K891" s="9"/>
    </row>
    <row r="892" spans="3:11" x14ac:dyDescent="0.2">
      <c r="C892" s="9"/>
      <c r="I892" s="11"/>
      <c r="J892" s="9"/>
      <c r="K892" s="9"/>
    </row>
    <row r="893" spans="3:11" x14ac:dyDescent="0.2">
      <c r="C893" s="9"/>
      <c r="I893" s="11"/>
      <c r="J893" s="9"/>
      <c r="K893" s="9"/>
    </row>
    <row r="894" spans="3:11" x14ac:dyDescent="0.2">
      <c r="C894" s="9"/>
      <c r="I894" s="11"/>
      <c r="J894" s="9"/>
      <c r="K894" s="9"/>
    </row>
    <row r="895" spans="3:11" x14ac:dyDescent="0.2">
      <c r="C895" s="9"/>
      <c r="I895" s="11"/>
      <c r="J895" s="9"/>
      <c r="K895" s="9"/>
    </row>
    <row r="896" spans="3:11" x14ac:dyDescent="0.2">
      <c r="C896" s="9"/>
      <c r="I896" s="11"/>
      <c r="J896" s="9"/>
      <c r="K896" s="9"/>
    </row>
    <row r="897" spans="3:11" x14ac:dyDescent="0.2">
      <c r="C897" s="9"/>
      <c r="I897" s="11"/>
      <c r="J897" s="9"/>
      <c r="K897" s="9"/>
    </row>
    <row r="898" spans="3:11" x14ac:dyDescent="0.2">
      <c r="C898" s="9"/>
      <c r="I898" s="11"/>
      <c r="J898" s="9"/>
      <c r="K898" s="9"/>
    </row>
    <row r="899" spans="3:11" x14ac:dyDescent="0.2">
      <c r="C899" s="9"/>
      <c r="I899" s="11"/>
      <c r="J899" s="9"/>
      <c r="K899" s="9"/>
    </row>
    <row r="900" spans="3:11" x14ac:dyDescent="0.2">
      <c r="C900" s="9"/>
      <c r="I900" s="11"/>
      <c r="J900" s="9"/>
      <c r="K900" s="9"/>
    </row>
    <row r="901" spans="3:11" x14ac:dyDescent="0.2">
      <c r="C901" s="9"/>
      <c r="I901" s="11"/>
      <c r="J901" s="9"/>
      <c r="K901" s="9"/>
    </row>
    <row r="902" spans="3:11" x14ac:dyDescent="0.2">
      <c r="C902" s="9"/>
      <c r="I902" s="11"/>
      <c r="J902" s="9"/>
      <c r="K902" s="9"/>
    </row>
    <row r="903" spans="3:11" x14ac:dyDescent="0.2">
      <c r="C903" s="9"/>
      <c r="I903" s="11"/>
      <c r="J903" s="9"/>
      <c r="K903" s="9"/>
    </row>
    <row r="904" spans="3:11" x14ac:dyDescent="0.2">
      <c r="C904" s="9"/>
      <c r="I904" s="11"/>
      <c r="J904" s="9"/>
      <c r="K904" s="9"/>
    </row>
    <row r="905" spans="3:11" x14ac:dyDescent="0.2">
      <c r="C905" s="9"/>
      <c r="I905" s="11"/>
      <c r="J905" s="9"/>
      <c r="K905" s="9"/>
    </row>
    <row r="906" spans="3:11" x14ac:dyDescent="0.2">
      <c r="C906" s="9"/>
      <c r="I906" s="11"/>
      <c r="J906" s="9"/>
      <c r="K906" s="9"/>
    </row>
    <row r="907" spans="3:11" x14ac:dyDescent="0.2">
      <c r="C907" s="9"/>
      <c r="I907" s="11"/>
      <c r="J907" s="9"/>
      <c r="K907" s="9"/>
    </row>
    <row r="908" spans="3:11" x14ac:dyDescent="0.2">
      <c r="C908" s="9"/>
      <c r="I908" s="11"/>
      <c r="J908" s="9"/>
      <c r="K908" s="9"/>
    </row>
    <row r="909" spans="3:11" x14ac:dyDescent="0.2">
      <c r="C909" s="9"/>
      <c r="I909" s="11"/>
      <c r="J909" s="9"/>
      <c r="K909" s="9"/>
    </row>
    <row r="910" spans="3:11" x14ac:dyDescent="0.2">
      <c r="C910" s="9"/>
      <c r="I910" s="11"/>
      <c r="J910" s="9"/>
      <c r="K910" s="9"/>
    </row>
    <row r="911" spans="3:11" x14ac:dyDescent="0.2">
      <c r="C911" s="9"/>
      <c r="I911" s="11"/>
      <c r="J911" s="9"/>
      <c r="K911" s="9"/>
    </row>
    <row r="912" spans="3:11" x14ac:dyDescent="0.2">
      <c r="C912" s="9"/>
      <c r="I912" s="11"/>
      <c r="J912" s="9"/>
      <c r="K912" s="9"/>
    </row>
    <row r="913" spans="3:11" x14ac:dyDescent="0.2">
      <c r="C913" s="9"/>
      <c r="I913" s="11"/>
      <c r="J913" s="9"/>
      <c r="K913" s="9"/>
    </row>
    <row r="914" spans="3:11" x14ac:dyDescent="0.2">
      <c r="C914" s="9"/>
      <c r="I914" s="11"/>
      <c r="J914" s="9"/>
      <c r="K914" s="9"/>
    </row>
    <row r="915" spans="3:11" x14ac:dyDescent="0.2">
      <c r="C915" s="9"/>
      <c r="I915" s="11"/>
      <c r="J915" s="9"/>
      <c r="K915" s="9"/>
    </row>
    <row r="916" spans="3:11" x14ac:dyDescent="0.2">
      <c r="C916" s="9"/>
      <c r="I916" s="11"/>
      <c r="J916" s="9"/>
      <c r="K916" s="9"/>
    </row>
    <row r="917" spans="3:11" x14ac:dyDescent="0.2">
      <c r="C917" s="9"/>
      <c r="I917" s="11"/>
      <c r="J917" s="9"/>
      <c r="K917" s="9"/>
    </row>
    <row r="918" spans="3:11" x14ac:dyDescent="0.2">
      <c r="C918" s="9"/>
      <c r="I918" s="11"/>
      <c r="J918" s="9"/>
      <c r="K918" s="9"/>
    </row>
    <row r="919" spans="3:11" x14ac:dyDescent="0.2">
      <c r="C919" s="9"/>
      <c r="I919" s="11"/>
      <c r="J919" s="9"/>
      <c r="K919" s="9"/>
    </row>
    <row r="920" spans="3:11" x14ac:dyDescent="0.2">
      <c r="C920" s="9"/>
      <c r="I920" s="11"/>
      <c r="J920" s="9"/>
      <c r="K920" s="9"/>
    </row>
    <row r="921" spans="3:11" x14ac:dyDescent="0.2">
      <c r="C921" s="9"/>
      <c r="I921" s="11"/>
      <c r="J921" s="9"/>
      <c r="K921" s="9"/>
    </row>
    <row r="922" spans="3:11" x14ac:dyDescent="0.2">
      <c r="C922" s="9"/>
      <c r="I922" s="11"/>
      <c r="J922" s="9"/>
      <c r="K922" s="9"/>
    </row>
    <row r="923" spans="3:11" x14ac:dyDescent="0.2">
      <c r="C923" s="9"/>
      <c r="I923" s="11"/>
      <c r="J923" s="9"/>
      <c r="K923" s="9"/>
    </row>
    <row r="924" spans="3:11" x14ac:dyDescent="0.2">
      <c r="C924" s="9"/>
      <c r="I924" s="11"/>
      <c r="J924" s="9"/>
      <c r="K924" s="9"/>
    </row>
    <row r="925" spans="3:11" x14ac:dyDescent="0.2">
      <c r="C925" s="9"/>
      <c r="I925" s="11"/>
      <c r="J925" s="9"/>
      <c r="K925" s="9"/>
    </row>
    <row r="926" spans="3:11" x14ac:dyDescent="0.2">
      <c r="C926" s="9"/>
      <c r="I926" s="11"/>
      <c r="J926" s="9"/>
      <c r="K926" s="9"/>
    </row>
    <row r="927" spans="3:11" x14ac:dyDescent="0.2">
      <c r="C927" s="9"/>
      <c r="I927" s="11"/>
      <c r="J927" s="9"/>
      <c r="K927" s="9"/>
    </row>
    <row r="928" spans="3:11" x14ac:dyDescent="0.2">
      <c r="C928" s="9"/>
      <c r="I928" s="11"/>
      <c r="J928" s="9"/>
      <c r="K928" s="9"/>
    </row>
    <row r="929" spans="3:11" x14ac:dyDescent="0.2">
      <c r="C929" s="9"/>
      <c r="I929" s="11"/>
      <c r="J929" s="9"/>
      <c r="K929" s="9"/>
    </row>
    <row r="930" spans="3:11" x14ac:dyDescent="0.2">
      <c r="C930" s="9"/>
      <c r="I930" s="11"/>
      <c r="J930" s="9"/>
      <c r="K930" s="9"/>
    </row>
    <row r="931" spans="3:11" x14ac:dyDescent="0.2">
      <c r="C931" s="9"/>
      <c r="I931" s="11"/>
      <c r="J931" s="9"/>
      <c r="K931" s="9"/>
    </row>
    <row r="932" spans="3:11" x14ac:dyDescent="0.2">
      <c r="C932" s="9"/>
      <c r="I932" s="11"/>
      <c r="J932" s="9"/>
      <c r="K932" s="9"/>
    </row>
    <row r="933" spans="3:11" x14ac:dyDescent="0.2">
      <c r="C933" s="9"/>
      <c r="I933" s="11"/>
      <c r="J933" s="9"/>
      <c r="K933" s="9"/>
    </row>
    <row r="934" spans="3:11" x14ac:dyDescent="0.2">
      <c r="C934" s="9"/>
      <c r="I934" s="11"/>
      <c r="J934" s="9"/>
      <c r="K934" s="9"/>
    </row>
    <row r="935" spans="3:11" x14ac:dyDescent="0.2">
      <c r="C935" s="9"/>
      <c r="I935" s="11"/>
      <c r="J935" s="9"/>
      <c r="K935" s="9"/>
    </row>
    <row r="936" spans="3:11" x14ac:dyDescent="0.2">
      <c r="C936" s="9"/>
      <c r="I936" s="11"/>
      <c r="J936" s="9"/>
      <c r="K936" s="9"/>
    </row>
    <row r="937" spans="3:11" x14ac:dyDescent="0.2">
      <c r="C937" s="9"/>
      <c r="I937" s="11"/>
      <c r="J937" s="9"/>
      <c r="K937" s="9"/>
    </row>
    <row r="938" spans="3:11" x14ac:dyDescent="0.2">
      <c r="C938" s="9"/>
      <c r="I938" s="11"/>
      <c r="J938" s="9"/>
      <c r="K938" s="9"/>
    </row>
    <row r="939" spans="3:11" x14ac:dyDescent="0.2">
      <c r="C939" s="9"/>
      <c r="I939" s="11"/>
      <c r="J939" s="9"/>
      <c r="K939" s="9"/>
    </row>
    <row r="940" spans="3:11" x14ac:dyDescent="0.2">
      <c r="C940" s="9"/>
      <c r="I940" s="11"/>
      <c r="J940" s="9"/>
      <c r="K940" s="9"/>
    </row>
    <row r="941" spans="3:11" x14ac:dyDescent="0.2">
      <c r="C941" s="9"/>
      <c r="I941" s="11"/>
      <c r="J941" s="9"/>
      <c r="K941" s="9"/>
    </row>
    <row r="942" spans="3:11" x14ac:dyDescent="0.2">
      <c r="C942" s="9"/>
      <c r="I942" s="11"/>
      <c r="J942" s="9"/>
      <c r="K942" s="9"/>
    </row>
    <row r="943" spans="3:11" x14ac:dyDescent="0.2">
      <c r="C943" s="9"/>
      <c r="I943" s="11"/>
      <c r="J943" s="9"/>
      <c r="K943" s="9"/>
    </row>
    <row r="944" spans="3:11" x14ac:dyDescent="0.2">
      <c r="C944" s="9"/>
      <c r="I944" s="11"/>
      <c r="J944" s="9"/>
      <c r="K944" s="9"/>
    </row>
    <row r="945" spans="3:11" x14ac:dyDescent="0.2">
      <c r="C945" s="9"/>
      <c r="I945" s="11"/>
      <c r="J945" s="9"/>
      <c r="K945" s="9"/>
    </row>
    <row r="946" spans="3:11" x14ac:dyDescent="0.2">
      <c r="C946" s="9"/>
      <c r="I946" s="11"/>
      <c r="J946" s="9"/>
      <c r="K946" s="9"/>
    </row>
    <row r="947" spans="3:11" x14ac:dyDescent="0.2">
      <c r="C947" s="9"/>
      <c r="I947" s="11"/>
      <c r="J947" s="9"/>
      <c r="K947" s="9"/>
    </row>
    <row r="948" spans="3:11" x14ac:dyDescent="0.2">
      <c r="C948" s="9"/>
      <c r="I948" s="11"/>
      <c r="J948" s="9"/>
      <c r="K948" s="9"/>
    </row>
    <row r="949" spans="3:11" x14ac:dyDescent="0.2">
      <c r="C949" s="9"/>
      <c r="I949" s="11"/>
      <c r="J949" s="9"/>
      <c r="K949" s="9"/>
    </row>
    <row r="950" spans="3:11" x14ac:dyDescent="0.2">
      <c r="C950" s="9"/>
      <c r="I950" s="11"/>
      <c r="J950" s="9"/>
      <c r="K950" s="9"/>
    </row>
    <row r="951" spans="3:11" x14ac:dyDescent="0.2">
      <c r="C951" s="9"/>
      <c r="I951" s="11"/>
      <c r="J951" s="9"/>
      <c r="K951" s="9"/>
    </row>
    <row r="952" spans="3:11" x14ac:dyDescent="0.2">
      <c r="C952" s="9"/>
      <c r="I952" s="11"/>
      <c r="J952" s="9"/>
      <c r="K952" s="9"/>
    </row>
    <row r="953" spans="3:11" x14ac:dyDescent="0.2">
      <c r="C953" s="9"/>
      <c r="I953" s="11"/>
      <c r="J953" s="9"/>
      <c r="K953" s="9"/>
    </row>
    <row r="954" spans="3:11" x14ac:dyDescent="0.2">
      <c r="C954" s="9"/>
      <c r="I954" s="11"/>
      <c r="J954" s="9"/>
      <c r="K954" s="9"/>
    </row>
    <row r="955" spans="3:11" x14ac:dyDescent="0.2">
      <c r="C955" s="9"/>
      <c r="I955" s="11"/>
      <c r="J955" s="9"/>
      <c r="K955" s="9"/>
    </row>
    <row r="956" spans="3:11" x14ac:dyDescent="0.2">
      <c r="C956" s="9"/>
      <c r="I956" s="11"/>
      <c r="J956" s="9"/>
      <c r="K956" s="9"/>
    </row>
    <row r="957" spans="3:11" x14ac:dyDescent="0.2">
      <c r="C957" s="9"/>
      <c r="I957" s="11"/>
      <c r="J957" s="9"/>
      <c r="K957" s="9"/>
    </row>
    <row r="958" spans="3:11" x14ac:dyDescent="0.2">
      <c r="C958" s="9"/>
      <c r="I958" s="11"/>
      <c r="J958" s="9"/>
      <c r="K958" s="9"/>
    </row>
    <row r="959" spans="3:11" x14ac:dyDescent="0.2">
      <c r="C959" s="9"/>
      <c r="I959" s="11"/>
      <c r="J959" s="9"/>
      <c r="K959" s="9"/>
    </row>
    <row r="960" spans="3:11" x14ac:dyDescent="0.2">
      <c r="C960" s="9"/>
      <c r="I960" s="11"/>
      <c r="J960" s="9"/>
      <c r="K960" s="9"/>
    </row>
    <row r="961" spans="3:11" x14ac:dyDescent="0.2">
      <c r="C961" s="9"/>
      <c r="I961" s="11"/>
      <c r="J961" s="9"/>
      <c r="K961" s="9"/>
    </row>
    <row r="962" spans="3:11" x14ac:dyDescent="0.2">
      <c r="C962" s="9"/>
      <c r="I962" s="11"/>
      <c r="J962" s="9"/>
      <c r="K962" s="9"/>
    </row>
    <row r="963" spans="3:11" x14ac:dyDescent="0.2">
      <c r="C963" s="9"/>
      <c r="I963" s="11"/>
      <c r="J963" s="9"/>
      <c r="K963" s="9"/>
    </row>
    <row r="964" spans="3:11" x14ac:dyDescent="0.2">
      <c r="C964" s="9"/>
      <c r="I964" s="11"/>
      <c r="J964" s="9"/>
      <c r="K964" s="9"/>
    </row>
    <row r="965" spans="3:11" x14ac:dyDescent="0.2">
      <c r="C965" s="9"/>
      <c r="I965" s="11"/>
      <c r="J965" s="9"/>
      <c r="K965" s="9"/>
    </row>
    <row r="966" spans="3:11" x14ac:dyDescent="0.2">
      <c r="C966" s="9"/>
      <c r="I966" s="11"/>
      <c r="J966" s="9"/>
      <c r="K966" s="9"/>
    </row>
    <row r="967" spans="3:11" x14ac:dyDescent="0.2">
      <c r="C967" s="9"/>
      <c r="I967" s="11"/>
      <c r="J967" s="9"/>
      <c r="K967" s="9"/>
    </row>
    <row r="968" spans="3:11" x14ac:dyDescent="0.2">
      <c r="C968" s="9"/>
      <c r="I968" s="11"/>
      <c r="J968" s="9"/>
      <c r="K968" s="9"/>
    </row>
    <row r="969" spans="3:11" x14ac:dyDescent="0.2">
      <c r="C969" s="9"/>
      <c r="I969" s="11"/>
      <c r="J969" s="9"/>
      <c r="K969" s="9"/>
    </row>
    <row r="970" spans="3:11" x14ac:dyDescent="0.2">
      <c r="C970" s="9"/>
      <c r="I970" s="11"/>
      <c r="J970" s="9"/>
      <c r="K970" s="9"/>
    </row>
    <row r="971" spans="3:11" x14ac:dyDescent="0.2">
      <c r="C971" s="9"/>
      <c r="I971" s="11"/>
      <c r="J971" s="9"/>
      <c r="K971" s="9"/>
    </row>
    <row r="972" spans="3:11" x14ac:dyDescent="0.2">
      <c r="C972" s="9"/>
      <c r="I972" s="11"/>
      <c r="J972" s="9"/>
      <c r="K972" s="9"/>
    </row>
    <row r="973" spans="3:11" x14ac:dyDescent="0.2">
      <c r="C973" s="9"/>
      <c r="I973" s="11"/>
      <c r="J973" s="9"/>
      <c r="K973" s="9"/>
    </row>
    <row r="974" spans="3:11" x14ac:dyDescent="0.2">
      <c r="C974" s="9"/>
      <c r="I974" s="11"/>
      <c r="J974" s="9"/>
      <c r="K974" s="9"/>
    </row>
    <row r="975" spans="3:11" x14ac:dyDescent="0.2">
      <c r="C975" s="9"/>
      <c r="I975" s="11"/>
      <c r="J975" s="9"/>
      <c r="K975" s="9"/>
    </row>
    <row r="976" spans="3:11" x14ac:dyDescent="0.2">
      <c r="C976" s="9"/>
      <c r="I976" s="11"/>
      <c r="J976" s="9"/>
      <c r="K976" s="9"/>
    </row>
    <row r="977" spans="3:11" x14ac:dyDescent="0.2">
      <c r="C977" s="9"/>
      <c r="I977" s="11"/>
      <c r="J977" s="9"/>
      <c r="K977" s="9"/>
    </row>
    <row r="978" spans="3:11" x14ac:dyDescent="0.2">
      <c r="C978" s="9"/>
      <c r="I978" s="11"/>
      <c r="J978" s="9"/>
      <c r="K978" s="9"/>
    </row>
    <row r="979" spans="3:11" x14ac:dyDescent="0.2">
      <c r="C979" s="9"/>
      <c r="I979" s="11"/>
      <c r="J979" s="9"/>
      <c r="K979" s="9"/>
    </row>
    <row r="980" spans="3:11" x14ac:dyDescent="0.2">
      <c r="C980" s="9"/>
      <c r="I980" s="11"/>
      <c r="J980" s="9"/>
      <c r="K980" s="9"/>
    </row>
    <row r="981" spans="3:11" x14ac:dyDescent="0.2">
      <c r="C981" s="9"/>
      <c r="I981" s="11"/>
      <c r="J981" s="9"/>
      <c r="K981" s="9"/>
    </row>
    <row r="982" spans="3:11" x14ac:dyDescent="0.2">
      <c r="C982" s="9"/>
      <c r="I982" s="11"/>
      <c r="J982" s="9"/>
      <c r="K982" s="9"/>
    </row>
    <row r="983" spans="3:11" x14ac:dyDescent="0.2">
      <c r="C983" s="9"/>
      <c r="I983" s="11"/>
      <c r="J983" s="9"/>
      <c r="K983" s="9"/>
    </row>
    <row r="984" spans="3:11" x14ac:dyDescent="0.2">
      <c r="C984" s="9"/>
      <c r="I984" s="11"/>
      <c r="J984" s="9"/>
      <c r="K984" s="9"/>
    </row>
    <row r="985" spans="3:11" x14ac:dyDescent="0.2">
      <c r="C985" s="9"/>
      <c r="I985" s="11"/>
      <c r="J985" s="9"/>
      <c r="K985" s="9"/>
    </row>
    <row r="986" spans="3:11" x14ac:dyDescent="0.2">
      <c r="C986" s="9"/>
      <c r="I986" s="11"/>
      <c r="J986" s="9"/>
      <c r="K986" s="9"/>
    </row>
    <row r="987" spans="3:11" x14ac:dyDescent="0.2">
      <c r="C987" s="9"/>
      <c r="I987" s="11"/>
      <c r="J987" s="9"/>
      <c r="K987" s="9"/>
    </row>
    <row r="988" spans="3:11" x14ac:dyDescent="0.2">
      <c r="C988" s="9"/>
      <c r="I988" s="11"/>
      <c r="J988" s="9"/>
      <c r="K988" s="9"/>
    </row>
    <row r="989" spans="3:11" x14ac:dyDescent="0.2">
      <c r="C989" s="9"/>
      <c r="I989" s="11"/>
      <c r="J989" s="9"/>
      <c r="K989" s="9"/>
    </row>
    <row r="990" spans="3:11" x14ac:dyDescent="0.2">
      <c r="C990" s="9"/>
      <c r="I990" s="11"/>
      <c r="J990" s="9"/>
      <c r="K990" s="9"/>
    </row>
    <row r="991" spans="3:11" x14ac:dyDescent="0.2">
      <c r="C991" s="9"/>
      <c r="I991" s="11"/>
      <c r="J991" s="9"/>
      <c r="K991" s="9"/>
    </row>
    <row r="992" spans="3:11" x14ac:dyDescent="0.2">
      <c r="C992" s="9"/>
      <c r="I992" s="11"/>
      <c r="J992" s="9"/>
      <c r="K992" s="9"/>
    </row>
    <row r="993" spans="3:11" x14ac:dyDescent="0.2">
      <c r="C993" s="9"/>
      <c r="I993" s="11"/>
      <c r="J993" s="9"/>
      <c r="K993" s="9"/>
    </row>
    <row r="994" spans="3:11" x14ac:dyDescent="0.2">
      <c r="C994" s="9"/>
      <c r="I994" s="11"/>
      <c r="J994" s="9"/>
      <c r="K994" s="9"/>
    </row>
    <row r="995" spans="3:11" x14ac:dyDescent="0.2">
      <c r="C995" s="9"/>
      <c r="I995" s="11"/>
      <c r="J995" s="9"/>
      <c r="K995" s="9"/>
    </row>
    <row r="996" spans="3:11" x14ac:dyDescent="0.2">
      <c r="C996" s="9"/>
      <c r="I996" s="11"/>
      <c r="J996" s="9"/>
      <c r="K996" s="9"/>
    </row>
    <row r="997" spans="3:11" x14ac:dyDescent="0.2">
      <c r="C997" s="9"/>
      <c r="I997" s="11"/>
      <c r="J997" s="9"/>
      <c r="K997" s="9"/>
    </row>
    <row r="998" spans="3:11" x14ac:dyDescent="0.2">
      <c r="C998" s="9"/>
      <c r="I998" s="11"/>
      <c r="J998" s="9"/>
      <c r="K998" s="9"/>
    </row>
    <row r="999" spans="3:11" x14ac:dyDescent="0.2">
      <c r="C999" s="9"/>
      <c r="I999" s="11"/>
      <c r="J999" s="9"/>
      <c r="K999" s="9"/>
    </row>
    <row r="1000" spans="3:11" x14ac:dyDescent="0.2">
      <c r="C1000" s="9"/>
      <c r="I1000" s="11"/>
      <c r="J1000" s="9"/>
      <c r="K1000" s="9"/>
    </row>
    <row r="1001" spans="3:11" x14ac:dyDescent="0.2">
      <c r="C1001" s="9"/>
      <c r="I1001" s="11"/>
      <c r="J1001" s="9"/>
      <c r="K1001" s="9"/>
    </row>
    <row r="1002" spans="3:11" x14ac:dyDescent="0.2">
      <c r="C1002" s="9"/>
      <c r="I1002" s="11"/>
      <c r="J1002" s="9"/>
      <c r="K1002" s="9"/>
    </row>
    <row r="1003" spans="3:11" x14ac:dyDescent="0.2">
      <c r="C1003" s="9"/>
      <c r="I1003" s="11"/>
      <c r="J1003" s="9"/>
      <c r="K1003" s="9"/>
    </row>
    <row r="1004" spans="3:11" x14ac:dyDescent="0.2">
      <c r="C1004" s="9"/>
      <c r="I1004" s="11"/>
      <c r="J1004" s="9"/>
      <c r="K1004" s="9"/>
    </row>
    <row r="1005" spans="3:11" x14ac:dyDescent="0.2">
      <c r="C1005" s="9"/>
      <c r="I1005" s="11"/>
      <c r="J1005" s="9"/>
      <c r="K1005" s="9"/>
    </row>
    <row r="1006" spans="3:11" x14ac:dyDescent="0.2">
      <c r="C1006" s="9"/>
      <c r="I1006" s="11"/>
      <c r="J1006" s="9"/>
      <c r="K1006" s="9"/>
    </row>
    <row r="1007" spans="3:11" x14ac:dyDescent="0.2">
      <c r="C1007" s="9"/>
      <c r="I1007" s="11"/>
      <c r="J1007" s="9"/>
      <c r="K1007" s="9"/>
    </row>
    <row r="1008" spans="3:11" x14ac:dyDescent="0.2">
      <c r="C1008" s="9"/>
      <c r="I1008" s="11"/>
      <c r="J1008" s="9"/>
      <c r="K1008" s="9"/>
    </row>
    <row r="1009" spans="3:11" x14ac:dyDescent="0.2">
      <c r="C1009" s="9"/>
      <c r="I1009" s="11"/>
      <c r="J1009" s="9"/>
      <c r="K1009" s="9"/>
    </row>
    <row r="1010" spans="3:11" x14ac:dyDescent="0.2">
      <c r="C1010" s="9"/>
      <c r="I1010" s="11"/>
      <c r="J1010" s="9"/>
      <c r="K1010" s="9"/>
    </row>
    <row r="1011" spans="3:11" x14ac:dyDescent="0.2">
      <c r="C1011" s="9"/>
      <c r="I1011" s="11"/>
      <c r="J1011" s="9"/>
      <c r="K1011" s="9"/>
    </row>
    <row r="1012" spans="3:11" x14ac:dyDescent="0.2">
      <c r="C1012" s="9"/>
      <c r="I1012" s="11"/>
      <c r="J1012" s="9"/>
      <c r="K1012" s="9"/>
    </row>
    <row r="1013" spans="3:11" x14ac:dyDescent="0.2">
      <c r="C1013" s="9"/>
      <c r="I1013" s="11"/>
      <c r="J1013" s="9"/>
      <c r="K1013" s="9"/>
    </row>
    <row r="1014" spans="3:11" x14ac:dyDescent="0.2">
      <c r="C1014" s="9"/>
      <c r="I1014" s="11"/>
      <c r="J1014" s="9"/>
      <c r="K1014" s="9"/>
    </row>
    <row r="1015" spans="3:11" x14ac:dyDescent="0.2">
      <c r="C1015" s="9"/>
      <c r="I1015" s="11"/>
      <c r="J1015" s="9"/>
      <c r="K1015" s="9"/>
    </row>
    <row r="1016" spans="3:11" x14ac:dyDescent="0.2">
      <c r="C1016" s="9"/>
      <c r="I1016" s="11"/>
      <c r="J1016" s="9"/>
      <c r="K1016" s="9"/>
    </row>
    <row r="1017" spans="3:11" x14ac:dyDescent="0.2">
      <c r="C1017" s="9"/>
      <c r="I1017" s="11"/>
      <c r="J1017" s="9"/>
      <c r="K1017" s="9"/>
    </row>
    <row r="1018" spans="3:11" x14ac:dyDescent="0.2">
      <c r="C1018" s="9"/>
      <c r="I1018" s="11"/>
      <c r="J1018" s="9"/>
      <c r="K1018" s="9"/>
    </row>
    <row r="1019" spans="3:11" x14ac:dyDescent="0.2">
      <c r="C1019" s="9"/>
      <c r="I1019" s="11"/>
      <c r="J1019" s="9"/>
      <c r="K1019" s="9"/>
    </row>
    <row r="1020" spans="3:11" x14ac:dyDescent="0.2">
      <c r="C1020" s="9"/>
      <c r="I1020" s="11"/>
      <c r="J1020" s="9"/>
      <c r="K1020" s="9"/>
    </row>
    <row r="1021" spans="3:11" x14ac:dyDescent="0.2">
      <c r="C1021" s="9"/>
      <c r="I1021" s="11"/>
      <c r="J1021" s="9"/>
      <c r="K1021" s="9"/>
    </row>
    <row r="1022" spans="3:11" x14ac:dyDescent="0.2">
      <c r="C1022" s="9"/>
      <c r="I1022" s="11"/>
      <c r="J1022" s="9"/>
      <c r="K1022" s="9"/>
    </row>
    <row r="1023" spans="3:11" x14ac:dyDescent="0.2">
      <c r="C1023" s="9"/>
      <c r="I1023" s="11"/>
      <c r="J1023" s="9"/>
      <c r="K1023" s="9"/>
    </row>
    <row r="1024" spans="3:11" x14ac:dyDescent="0.2">
      <c r="C1024" s="9"/>
      <c r="I1024" s="11"/>
      <c r="J1024" s="9"/>
      <c r="K1024" s="9"/>
    </row>
    <row r="1025" spans="3:11" x14ac:dyDescent="0.2">
      <c r="C1025" s="9"/>
      <c r="I1025" s="11"/>
      <c r="J1025" s="9"/>
      <c r="K1025" s="9"/>
    </row>
    <row r="1026" spans="3:11" x14ac:dyDescent="0.2">
      <c r="C1026" s="9"/>
      <c r="I1026" s="11"/>
      <c r="J1026" s="9"/>
      <c r="K1026" s="9"/>
    </row>
    <row r="1027" spans="3:11" x14ac:dyDescent="0.2">
      <c r="C1027" s="9"/>
      <c r="I1027" s="11"/>
      <c r="J1027" s="9"/>
      <c r="K1027" s="9"/>
    </row>
    <row r="1028" spans="3:11" x14ac:dyDescent="0.2">
      <c r="C1028" s="9"/>
      <c r="I1028" s="11"/>
      <c r="J1028" s="9"/>
      <c r="K1028" s="9"/>
    </row>
    <row r="1029" spans="3:11" x14ac:dyDescent="0.2">
      <c r="C1029" s="9"/>
      <c r="I1029" s="11"/>
      <c r="J1029" s="9"/>
      <c r="K1029" s="9"/>
    </row>
    <row r="1030" spans="3:11" x14ac:dyDescent="0.2">
      <c r="C1030" s="9"/>
      <c r="I1030" s="11"/>
      <c r="J1030" s="9"/>
      <c r="K1030" s="9"/>
    </row>
    <row r="1031" spans="3:11" x14ac:dyDescent="0.2">
      <c r="C1031" s="9"/>
      <c r="I1031" s="11"/>
      <c r="J1031" s="9"/>
      <c r="K1031" s="9"/>
    </row>
    <row r="1032" spans="3:11" x14ac:dyDescent="0.2">
      <c r="C1032" s="9"/>
      <c r="I1032" s="11"/>
      <c r="J1032" s="9"/>
      <c r="K1032" s="9"/>
    </row>
    <row r="1033" spans="3:11" x14ac:dyDescent="0.2">
      <c r="C1033" s="9"/>
      <c r="I1033" s="11"/>
      <c r="J1033" s="9"/>
      <c r="K1033" s="9"/>
    </row>
    <row r="1034" spans="3:11" x14ac:dyDescent="0.2">
      <c r="C1034" s="9"/>
      <c r="I1034" s="11"/>
      <c r="J1034" s="9"/>
      <c r="K1034" s="9"/>
    </row>
    <row r="1035" spans="3:11" x14ac:dyDescent="0.2">
      <c r="C1035" s="9"/>
      <c r="I1035" s="11"/>
      <c r="J1035" s="9"/>
      <c r="K1035" s="9"/>
    </row>
    <row r="1036" spans="3:11" x14ac:dyDescent="0.2">
      <c r="C1036" s="9"/>
      <c r="I1036" s="11"/>
      <c r="J1036" s="9"/>
      <c r="K1036" s="9"/>
    </row>
    <row r="1037" spans="3:11" x14ac:dyDescent="0.2">
      <c r="C1037" s="9"/>
      <c r="I1037" s="11"/>
      <c r="J1037" s="9"/>
      <c r="K1037" s="9"/>
    </row>
    <row r="1038" spans="3:11" x14ac:dyDescent="0.2">
      <c r="C1038" s="9"/>
      <c r="I1038" s="11"/>
      <c r="J1038" s="9"/>
      <c r="K1038" s="9"/>
    </row>
    <row r="1039" spans="3:11" x14ac:dyDescent="0.2">
      <c r="C1039" s="9"/>
      <c r="I1039" s="11"/>
      <c r="J1039" s="9"/>
      <c r="K1039" s="9"/>
    </row>
    <row r="1040" spans="3:11" x14ac:dyDescent="0.2">
      <c r="C1040" s="9"/>
      <c r="I1040" s="11"/>
      <c r="J1040" s="9"/>
      <c r="K1040" s="9"/>
    </row>
    <row r="1041" spans="3:11" x14ac:dyDescent="0.2">
      <c r="C1041" s="9"/>
      <c r="I1041" s="11"/>
      <c r="J1041" s="9"/>
      <c r="K1041" s="9"/>
    </row>
    <row r="1042" spans="3:11" x14ac:dyDescent="0.2">
      <c r="C1042" s="9"/>
      <c r="I1042" s="11"/>
      <c r="J1042" s="9"/>
      <c r="K1042" s="9"/>
    </row>
    <row r="1043" spans="3:11" x14ac:dyDescent="0.2">
      <c r="C1043" s="9"/>
      <c r="I1043" s="11"/>
      <c r="J1043" s="9"/>
      <c r="K1043" s="9"/>
    </row>
    <row r="1044" spans="3:11" x14ac:dyDescent="0.2">
      <c r="C1044" s="9"/>
      <c r="I1044" s="11"/>
      <c r="J1044" s="9"/>
      <c r="K1044" s="9"/>
    </row>
    <row r="1045" spans="3:11" x14ac:dyDescent="0.2">
      <c r="C1045" s="9"/>
      <c r="I1045" s="11"/>
      <c r="J1045" s="9"/>
      <c r="K1045" s="9"/>
    </row>
    <row r="1046" spans="3:11" x14ac:dyDescent="0.2">
      <c r="C1046" s="9"/>
      <c r="I1046" s="11"/>
      <c r="J1046" s="9"/>
      <c r="K1046" s="9"/>
    </row>
    <row r="1047" spans="3:11" x14ac:dyDescent="0.2">
      <c r="C1047" s="9"/>
      <c r="I1047" s="11"/>
      <c r="J1047" s="9"/>
      <c r="K1047" s="9"/>
    </row>
    <row r="1048" spans="3:11" x14ac:dyDescent="0.2">
      <c r="C1048" s="9"/>
      <c r="I1048" s="11"/>
      <c r="J1048" s="9"/>
      <c r="K1048" s="9"/>
    </row>
    <row r="1049" spans="3:11" x14ac:dyDescent="0.2">
      <c r="C1049" s="9"/>
      <c r="I1049" s="11"/>
      <c r="J1049" s="9"/>
      <c r="K1049" s="9"/>
    </row>
    <row r="1050" spans="3:11" x14ac:dyDescent="0.2">
      <c r="C1050" s="9"/>
      <c r="I1050" s="11"/>
      <c r="J1050" s="9"/>
      <c r="K1050" s="9"/>
    </row>
    <row r="1051" spans="3:11" x14ac:dyDescent="0.2">
      <c r="C1051" s="9"/>
      <c r="I1051" s="11"/>
      <c r="J1051" s="9"/>
      <c r="K1051" s="9"/>
    </row>
    <row r="1052" spans="3:11" x14ac:dyDescent="0.2">
      <c r="C1052" s="9"/>
      <c r="I1052" s="11"/>
      <c r="J1052" s="9"/>
      <c r="K1052" s="9"/>
    </row>
    <row r="1053" spans="3:11" x14ac:dyDescent="0.2">
      <c r="C1053" s="9"/>
      <c r="I1053" s="11"/>
      <c r="J1053" s="9"/>
      <c r="K1053" s="9"/>
    </row>
    <row r="1054" spans="3:11" x14ac:dyDescent="0.2">
      <c r="C1054" s="9"/>
      <c r="I1054" s="11"/>
      <c r="J1054" s="9"/>
      <c r="K1054" s="9"/>
    </row>
    <row r="1055" spans="3:11" x14ac:dyDescent="0.2">
      <c r="C1055" s="9"/>
      <c r="I1055" s="11"/>
      <c r="J1055" s="9"/>
      <c r="K1055" s="9"/>
    </row>
    <row r="1056" spans="3:11" x14ac:dyDescent="0.2">
      <c r="C1056" s="9"/>
      <c r="I1056" s="11"/>
      <c r="J1056" s="9"/>
      <c r="K1056" s="9"/>
    </row>
    <row r="1057" spans="3:11" x14ac:dyDescent="0.2">
      <c r="C1057" s="9"/>
      <c r="I1057" s="11"/>
      <c r="J1057" s="9"/>
      <c r="K1057" s="9"/>
    </row>
    <row r="1058" spans="3:11" x14ac:dyDescent="0.2">
      <c r="C1058" s="9"/>
      <c r="I1058" s="11"/>
      <c r="J1058" s="9"/>
      <c r="K1058" s="9"/>
    </row>
    <row r="1059" spans="3:11" x14ac:dyDescent="0.2">
      <c r="C1059" s="9"/>
      <c r="I1059" s="11"/>
      <c r="J1059" s="9"/>
      <c r="K1059" s="9"/>
    </row>
    <row r="1060" spans="3:11" x14ac:dyDescent="0.2">
      <c r="C1060" s="9"/>
      <c r="I1060" s="11"/>
      <c r="J1060" s="9"/>
      <c r="K1060" s="9"/>
    </row>
    <row r="1061" spans="3:11" x14ac:dyDescent="0.2">
      <c r="C1061" s="9"/>
      <c r="I1061" s="11"/>
      <c r="J1061" s="9"/>
      <c r="K1061" s="9"/>
    </row>
    <row r="1062" spans="3:11" x14ac:dyDescent="0.2">
      <c r="C1062" s="9"/>
      <c r="I1062" s="11"/>
      <c r="J1062" s="9"/>
      <c r="K1062" s="9"/>
    </row>
    <row r="1063" spans="3:11" x14ac:dyDescent="0.2">
      <c r="C1063" s="9"/>
      <c r="I1063" s="11"/>
      <c r="J1063" s="9"/>
      <c r="K1063" s="9"/>
    </row>
    <row r="1064" spans="3:11" x14ac:dyDescent="0.2">
      <c r="C1064" s="9"/>
      <c r="I1064" s="11"/>
      <c r="J1064" s="9"/>
      <c r="K1064" s="9"/>
    </row>
    <row r="1065" spans="3:11" x14ac:dyDescent="0.2">
      <c r="C1065" s="9"/>
      <c r="I1065" s="11"/>
      <c r="J1065" s="9"/>
      <c r="K1065" s="9"/>
    </row>
    <row r="1066" spans="3:11" x14ac:dyDescent="0.2">
      <c r="C1066" s="9"/>
      <c r="I1066" s="11"/>
      <c r="J1066" s="9"/>
      <c r="K1066" s="9"/>
    </row>
    <row r="1067" spans="3:11" x14ac:dyDescent="0.2">
      <c r="C1067" s="9"/>
      <c r="I1067" s="11"/>
      <c r="J1067" s="9"/>
      <c r="K1067" s="9"/>
    </row>
    <row r="1068" spans="3:11" x14ac:dyDescent="0.2">
      <c r="C1068" s="9"/>
      <c r="I1068" s="11"/>
      <c r="J1068" s="9"/>
      <c r="K1068" s="9"/>
    </row>
    <row r="1069" spans="3:11" x14ac:dyDescent="0.2">
      <c r="C1069" s="9"/>
      <c r="I1069" s="11"/>
      <c r="J1069" s="9"/>
      <c r="K1069" s="9"/>
    </row>
    <row r="1070" spans="3:11" x14ac:dyDescent="0.2">
      <c r="C1070" s="9"/>
      <c r="I1070" s="11"/>
      <c r="J1070" s="9"/>
      <c r="K1070" s="9"/>
    </row>
    <row r="1071" spans="3:11" x14ac:dyDescent="0.2">
      <c r="C1071" s="9"/>
      <c r="I1071" s="11"/>
      <c r="J1071" s="9"/>
      <c r="K1071" s="9"/>
    </row>
    <row r="1072" spans="3:11" x14ac:dyDescent="0.2">
      <c r="C1072" s="9"/>
      <c r="I1072" s="11"/>
      <c r="J1072" s="9"/>
      <c r="K1072" s="9"/>
    </row>
    <row r="1073" spans="3:11" x14ac:dyDescent="0.2">
      <c r="C1073" s="9"/>
      <c r="I1073" s="11"/>
      <c r="J1073" s="9"/>
      <c r="K1073" s="9"/>
    </row>
    <row r="1074" spans="3:11" x14ac:dyDescent="0.2">
      <c r="C1074" s="9"/>
      <c r="I1074" s="11"/>
      <c r="J1074" s="9"/>
      <c r="K1074" s="9"/>
    </row>
    <row r="1075" spans="3:11" x14ac:dyDescent="0.2">
      <c r="C1075" s="9"/>
      <c r="I1075" s="11"/>
      <c r="J1075" s="9"/>
      <c r="K1075" s="9"/>
    </row>
    <row r="1076" spans="3:11" x14ac:dyDescent="0.2">
      <c r="C1076" s="9"/>
      <c r="I1076" s="11"/>
      <c r="J1076" s="9"/>
      <c r="K1076" s="9"/>
    </row>
    <row r="1077" spans="3:11" x14ac:dyDescent="0.2">
      <c r="C1077" s="9"/>
      <c r="I1077" s="11"/>
      <c r="J1077" s="9"/>
      <c r="K1077" s="9"/>
    </row>
    <row r="1078" spans="3:11" x14ac:dyDescent="0.2">
      <c r="C1078" s="9"/>
      <c r="I1078" s="11"/>
      <c r="J1078" s="9"/>
      <c r="K1078" s="9"/>
    </row>
    <row r="1079" spans="3:11" x14ac:dyDescent="0.2">
      <c r="C1079" s="9"/>
      <c r="I1079" s="11"/>
      <c r="J1079" s="9"/>
      <c r="K1079" s="9"/>
    </row>
    <row r="1080" spans="3:11" x14ac:dyDescent="0.2">
      <c r="C1080" s="9"/>
      <c r="I1080" s="11"/>
      <c r="J1080" s="9"/>
      <c r="K1080" s="9"/>
    </row>
    <row r="1081" spans="3:11" x14ac:dyDescent="0.2">
      <c r="C1081" s="9"/>
      <c r="I1081" s="11"/>
      <c r="J1081" s="9"/>
      <c r="K1081" s="9"/>
    </row>
    <row r="1082" spans="3:11" x14ac:dyDescent="0.2">
      <c r="C1082" s="9"/>
      <c r="I1082" s="11"/>
      <c r="J1082" s="9"/>
      <c r="K1082" s="9"/>
    </row>
    <row r="1083" spans="3:11" x14ac:dyDescent="0.2">
      <c r="C1083" s="9"/>
      <c r="I1083" s="11"/>
      <c r="J1083" s="9"/>
      <c r="K1083" s="9"/>
    </row>
    <row r="1084" spans="3:11" x14ac:dyDescent="0.2">
      <c r="C1084" s="9"/>
      <c r="I1084" s="11"/>
      <c r="J1084" s="9"/>
      <c r="K1084" s="9"/>
    </row>
    <row r="1085" spans="3:11" x14ac:dyDescent="0.2">
      <c r="C1085" s="9"/>
      <c r="I1085" s="11"/>
      <c r="J1085" s="9"/>
      <c r="K1085" s="9"/>
    </row>
    <row r="1086" spans="3:11" x14ac:dyDescent="0.2">
      <c r="C1086" s="9"/>
      <c r="I1086" s="11"/>
      <c r="J1086" s="9"/>
      <c r="K1086" s="9"/>
    </row>
    <row r="1087" spans="3:11" x14ac:dyDescent="0.2">
      <c r="C1087" s="9"/>
      <c r="I1087" s="11"/>
      <c r="J1087" s="9"/>
      <c r="K1087" s="9"/>
    </row>
    <row r="1088" spans="3:11" x14ac:dyDescent="0.2">
      <c r="C1088" s="9"/>
      <c r="I1088" s="11"/>
      <c r="J1088" s="9"/>
      <c r="K1088" s="9"/>
    </row>
    <row r="1089" spans="3:11" x14ac:dyDescent="0.2">
      <c r="C1089" s="9"/>
      <c r="I1089" s="11"/>
      <c r="J1089" s="9"/>
      <c r="K1089" s="9"/>
    </row>
    <row r="1090" spans="3:11" x14ac:dyDescent="0.2">
      <c r="C1090" s="9"/>
      <c r="I1090" s="11"/>
      <c r="J1090" s="9"/>
      <c r="K1090" s="9"/>
    </row>
    <row r="1091" spans="3:11" x14ac:dyDescent="0.2">
      <c r="C1091" s="9"/>
      <c r="I1091" s="11"/>
      <c r="J1091" s="9"/>
      <c r="K1091" s="9"/>
    </row>
    <row r="1092" spans="3:11" x14ac:dyDescent="0.2">
      <c r="C1092" s="9"/>
      <c r="I1092" s="11"/>
      <c r="J1092" s="9"/>
      <c r="K1092" s="9"/>
    </row>
    <row r="1093" spans="3:11" x14ac:dyDescent="0.2">
      <c r="C1093" s="9"/>
      <c r="I1093" s="11"/>
      <c r="J1093" s="9"/>
      <c r="K1093" s="9"/>
    </row>
    <row r="1094" spans="3:11" x14ac:dyDescent="0.2">
      <c r="C1094" s="9"/>
      <c r="I1094" s="11"/>
      <c r="J1094" s="9"/>
      <c r="K1094" s="9"/>
    </row>
    <row r="1095" spans="3:11" x14ac:dyDescent="0.2">
      <c r="C1095" s="9"/>
      <c r="I1095" s="11"/>
      <c r="J1095" s="9"/>
      <c r="K1095" s="9"/>
    </row>
    <row r="1096" spans="3:11" x14ac:dyDescent="0.2">
      <c r="C1096" s="9"/>
      <c r="I1096" s="11"/>
      <c r="J1096" s="9"/>
      <c r="K1096" s="9"/>
    </row>
    <row r="1097" spans="3:11" x14ac:dyDescent="0.2">
      <c r="C1097" s="9"/>
      <c r="I1097" s="11"/>
      <c r="J1097" s="9"/>
      <c r="K1097" s="9"/>
    </row>
    <row r="1098" spans="3:11" x14ac:dyDescent="0.2">
      <c r="C1098" s="9"/>
      <c r="I1098" s="11"/>
      <c r="J1098" s="9"/>
      <c r="K1098" s="9"/>
    </row>
    <row r="1099" spans="3:11" x14ac:dyDescent="0.2">
      <c r="C1099" s="9"/>
      <c r="I1099" s="11"/>
      <c r="J1099" s="9"/>
      <c r="K1099" s="9"/>
    </row>
    <row r="1100" spans="3:11" x14ac:dyDescent="0.2">
      <c r="C1100" s="9"/>
      <c r="I1100" s="11"/>
      <c r="J1100" s="9"/>
      <c r="K1100" s="9"/>
    </row>
    <row r="1101" spans="3:11" x14ac:dyDescent="0.2">
      <c r="C1101" s="9"/>
      <c r="I1101" s="11"/>
      <c r="J1101" s="9"/>
      <c r="K1101" s="9"/>
    </row>
    <row r="1102" spans="3:11" x14ac:dyDescent="0.2">
      <c r="C1102" s="9"/>
      <c r="I1102" s="11"/>
      <c r="J1102" s="9"/>
      <c r="K1102" s="9"/>
    </row>
    <row r="1103" spans="3:11" x14ac:dyDescent="0.2">
      <c r="C1103" s="9"/>
      <c r="I1103" s="11"/>
      <c r="J1103" s="9"/>
      <c r="K1103" s="9"/>
    </row>
    <row r="1104" spans="3:11" x14ac:dyDescent="0.2">
      <c r="C1104" s="9"/>
      <c r="I1104" s="11"/>
      <c r="J1104" s="9"/>
      <c r="K1104" s="9"/>
    </row>
    <row r="1105" spans="3:11" x14ac:dyDescent="0.2">
      <c r="C1105" s="9"/>
      <c r="I1105" s="11"/>
      <c r="J1105" s="9"/>
      <c r="K1105" s="9"/>
    </row>
    <row r="1106" spans="3:11" x14ac:dyDescent="0.2">
      <c r="C1106" s="9"/>
      <c r="I1106" s="11"/>
      <c r="J1106" s="9"/>
      <c r="K1106" s="9"/>
    </row>
    <row r="1107" spans="3:11" x14ac:dyDescent="0.2">
      <c r="C1107" s="9"/>
      <c r="I1107" s="11"/>
      <c r="J1107" s="9"/>
      <c r="K1107" s="9"/>
    </row>
    <row r="1108" spans="3:11" x14ac:dyDescent="0.2">
      <c r="C1108" s="9"/>
      <c r="I1108" s="11"/>
      <c r="J1108" s="9"/>
      <c r="K1108" s="9"/>
    </row>
    <row r="1109" spans="3:11" x14ac:dyDescent="0.2">
      <c r="C1109" s="9"/>
      <c r="I1109" s="11"/>
      <c r="J1109" s="9"/>
      <c r="K1109" s="9"/>
    </row>
    <row r="1110" spans="3:11" x14ac:dyDescent="0.2">
      <c r="C1110" s="9"/>
      <c r="I1110" s="11"/>
      <c r="J1110" s="9"/>
      <c r="K1110" s="9"/>
    </row>
    <row r="1111" spans="3:11" x14ac:dyDescent="0.2">
      <c r="C1111" s="9"/>
      <c r="I1111" s="11"/>
      <c r="J1111" s="9"/>
      <c r="K1111" s="9"/>
    </row>
    <row r="1112" spans="3:11" x14ac:dyDescent="0.2">
      <c r="C1112" s="9"/>
      <c r="I1112" s="11"/>
      <c r="J1112" s="9"/>
      <c r="K1112" s="9"/>
    </row>
    <row r="1113" spans="3:11" x14ac:dyDescent="0.2">
      <c r="C1113" s="9"/>
      <c r="I1113" s="11"/>
      <c r="J1113" s="9"/>
      <c r="K1113" s="9"/>
    </row>
    <row r="1114" spans="3:11" x14ac:dyDescent="0.2">
      <c r="C1114" s="9"/>
      <c r="I1114" s="11"/>
      <c r="J1114" s="9"/>
      <c r="K1114" s="9"/>
    </row>
    <row r="1115" spans="3:11" x14ac:dyDescent="0.2">
      <c r="C1115" s="9"/>
      <c r="I1115" s="11"/>
      <c r="J1115" s="9"/>
      <c r="K1115" s="9"/>
    </row>
    <row r="1116" spans="3:11" x14ac:dyDescent="0.2">
      <c r="C1116" s="9"/>
      <c r="I1116" s="11"/>
      <c r="J1116" s="9"/>
      <c r="K1116" s="9"/>
    </row>
    <row r="1117" spans="3:11" x14ac:dyDescent="0.2">
      <c r="C1117" s="9"/>
      <c r="I1117" s="11"/>
      <c r="J1117" s="9"/>
      <c r="K1117" s="9"/>
    </row>
    <row r="1118" spans="3:11" x14ac:dyDescent="0.2">
      <c r="C1118" s="9"/>
      <c r="I1118" s="11"/>
      <c r="J1118" s="9"/>
      <c r="K1118" s="9"/>
    </row>
    <row r="1119" spans="3:11" x14ac:dyDescent="0.2">
      <c r="C1119" s="9"/>
      <c r="I1119" s="11"/>
      <c r="J1119" s="9"/>
      <c r="K1119" s="9"/>
    </row>
    <row r="1120" spans="3:11" x14ac:dyDescent="0.2">
      <c r="C1120" s="9"/>
      <c r="I1120" s="11"/>
      <c r="J1120" s="9"/>
      <c r="K1120" s="9"/>
    </row>
    <row r="1121" spans="3:11" x14ac:dyDescent="0.2">
      <c r="C1121" s="9"/>
      <c r="I1121" s="11"/>
      <c r="J1121" s="9"/>
      <c r="K1121" s="9"/>
    </row>
    <row r="1122" spans="3:11" x14ac:dyDescent="0.2">
      <c r="C1122" s="9"/>
      <c r="I1122" s="11"/>
      <c r="J1122" s="9"/>
      <c r="K1122" s="9"/>
    </row>
    <row r="1123" spans="3:11" x14ac:dyDescent="0.2">
      <c r="C1123" s="9"/>
      <c r="I1123" s="11"/>
      <c r="J1123" s="9"/>
      <c r="K1123" s="9"/>
    </row>
    <row r="1124" spans="3:11" x14ac:dyDescent="0.2">
      <c r="C1124" s="9"/>
      <c r="I1124" s="11"/>
      <c r="J1124" s="9"/>
      <c r="K1124" s="9"/>
    </row>
    <row r="1125" spans="3:11" x14ac:dyDescent="0.2">
      <c r="C1125" s="9"/>
      <c r="I1125" s="11"/>
      <c r="J1125" s="9"/>
      <c r="K1125" s="9"/>
    </row>
    <row r="1126" spans="3:11" x14ac:dyDescent="0.2">
      <c r="C1126" s="9"/>
      <c r="I1126" s="11"/>
      <c r="J1126" s="9"/>
      <c r="K1126" s="9"/>
    </row>
    <row r="1127" spans="3:11" x14ac:dyDescent="0.2">
      <c r="C1127" s="9"/>
      <c r="I1127" s="11"/>
      <c r="J1127" s="9"/>
      <c r="K1127" s="9"/>
    </row>
    <row r="1128" spans="3:11" x14ac:dyDescent="0.2">
      <c r="C1128" s="9"/>
      <c r="I1128" s="11"/>
      <c r="J1128" s="9"/>
      <c r="K1128" s="9"/>
    </row>
    <row r="1129" spans="3:11" x14ac:dyDescent="0.2">
      <c r="C1129" s="9"/>
      <c r="I1129" s="11"/>
      <c r="J1129" s="9"/>
      <c r="K1129" s="9"/>
    </row>
    <row r="1130" spans="3:11" x14ac:dyDescent="0.2">
      <c r="C1130" s="9"/>
      <c r="I1130" s="11"/>
      <c r="J1130" s="9"/>
      <c r="K1130" s="9"/>
    </row>
    <row r="1131" spans="3:11" x14ac:dyDescent="0.2">
      <c r="C1131" s="9"/>
      <c r="I1131" s="11"/>
      <c r="J1131" s="9"/>
      <c r="K1131" s="9"/>
    </row>
    <row r="1132" spans="3:11" x14ac:dyDescent="0.2">
      <c r="C1132" s="9"/>
      <c r="I1132" s="11"/>
      <c r="J1132" s="9"/>
      <c r="K1132" s="9"/>
    </row>
    <row r="1133" spans="3:11" x14ac:dyDescent="0.2">
      <c r="C1133" s="9"/>
      <c r="I1133" s="11"/>
      <c r="J1133" s="9"/>
      <c r="K1133" s="9"/>
    </row>
    <row r="1134" spans="3:11" x14ac:dyDescent="0.2">
      <c r="C1134" s="9"/>
      <c r="I1134" s="11"/>
      <c r="J1134" s="9"/>
      <c r="K1134" s="9"/>
    </row>
    <row r="1135" spans="3:11" x14ac:dyDescent="0.2">
      <c r="C1135" s="9"/>
      <c r="I1135" s="11"/>
      <c r="J1135" s="9"/>
      <c r="K1135" s="9"/>
    </row>
    <row r="1136" spans="3:11" x14ac:dyDescent="0.2">
      <c r="C1136" s="9"/>
      <c r="I1136" s="11"/>
      <c r="J1136" s="9"/>
      <c r="K1136" s="9"/>
    </row>
    <row r="1137" spans="3:11" x14ac:dyDescent="0.2">
      <c r="C1137" s="9"/>
      <c r="I1137" s="11"/>
      <c r="J1137" s="9"/>
      <c r="K1137" s="9"/>
    </row>
    <row r="1138" spans="3:11" x14ac:dyDescent="0.2">
      <c r="C1138" s="9"/>
      <c r="I1138" s="11"/>
      <c r="J1138" s="9"/>
      <c r="K1138" s="9"/>
    </row>
    <row r="1139" spans="3:11" x14ac:dyDescent="0.2">
      <c r="C1139" s="9"/>
      <c r="I1139" s="11"/>
      <c r="J1139" s="9"/>
      <c r="K1139" s="9"/>
    </row>
    <row r="1140" spans="3:11" x14ac:dyDescent="0.2">
      <c r="C1140" s="9"/>
      <c r="I1140" s="11"/>
      <c r="J1140" s="9"/>
      <c r="K1140" s="9"/>
    </row>
    <row r="1141" spans="3:11" x14ac:dyDescent="0.2">
      <c r="C1141" s="9"/>
      <c r="I1141" s="11"/>
      <c r="J1141" s="9"/>
      <c r="K1141" s="9"/>
    </row>
    <row r="1142" spans="3:11" x14ac:dyDescent="0.2">
      <c r="C1142" s="9"/>
      <c r="I1142" s="11"/>
      <c r="J1142" s="9"/>
      <c r="K1142" s="9"/>
    </row>
    <row r="1143" spans="3:11" x14ac:dyDescent="0.2">
      <c r="C1143" s="9"/>
      <c r="I1143" s="11"/>
      <c r="J1143" s="9"/>
      <c r="K1143" s="9"/>
    </row>
    <row r="1144" spans="3:11" x14ac:dyDescent="0.2">
      <c r="C1144" s="9"/>
      <c r="I1144" s="11"/>
      <c r="J1144" s="9"/>
      <c r="K1144" s="9"/>
    </row>
    <row r="1145" spans="3:11" x14ac:dyDescent="0.2">
      <c r="C1145" s="9"/>
      <c r="I1145" s="11"/>
      <c r="J1145" s="9"/>
      <c r="K1145" s="9"/>
    </row>
    <row r="1146" spans="3:11" x14ac:dyDescent="0.2">
      <c r="C1146" s="9"/>
      <c r="I1146" s="11"/>
      <c r="J1146" s="9"/>
      <c r="K1146" s="9"/>
    </row>
    <row r="1147" spans="3:11" x14ac:dyDescent="0.2">
      <c r="C1147" s="9"/>
      <c r="I1147" s="11"/>
      <c r="J1147" s="9"/>
      <c r="K1147" s="9"/>
    </row>
    <row r="1148" spans="3:11" x14ac:dyDescent="0.2">
      <c r="C1148" s="9"/>
      <c r="I1148" s="11"/>
      <c r="J1148" s="9"/>
      <c r="K1148" s="9"/>
    </row>
    <row r="1149" spans="3:11" x14ac:dyDescent="0.2">
      <c r="C1149" s="9"/>
      <c r="I1149" s="11"/>
      <c r="J1149" s="9"/>
      <c r="K1149" s="9"/>
    </row>
    <row r="1150" spans="3:11" x14ac:dyDescent="0.2">
      <c r="C1150" s="9"/>
      <c r="I1150" s="11"/>
      <c r="J1150" s="9"/>
      <c r="K1150" s="9"/>
    </row>
    <row r="1151" spans="3:11" x14ac:dyDescent="0.2">
      <c r="C1151" s="9"/>
      <c r="I1151" s="11"/>
      <c r="J1151" s="9"/>
      <c r="K1151" s="9"/>
    </row>
    <row r="1152" spans="3:11" x14ac:dyDescent="0.2">
      <c r="C1152" s="9"/>
      <c r="I1152" s="11"/>
      <c r="J1152" s="9"/>
      <c r="K1152" s="9"/>
    </row>
    <row r="1153" spans="3:11" x14ac:dyDescent="0.2">
      <c r="C1153" s="9"/>
      <c r="I1153" s="11"/>
      <c r="J1153" s="9"/>
      <c r="K1153" s="9"/>
    </row>
    <row r="1154" spans="3:11" x14ac:dyDescent="0.2">
      <c r="C1154" s="9"/>
      <c r="I1154" s="11"/>
      <c r="J1154" s="9"/>
      <c r="K1154" s="9"/>
    </row>
    <row r="1155" spans="3:11" x14ac:dyDescent="0.2">
      <c r="C1155" s="9"/>
      <c r="I1155" s="11"/>
      <c r="J1155" s="9"/>
      <c r="K1155" s="9"/>
    </row>
    <row r="1156" spans="3:11" x14ac:dyDescent="0.2">
      <c r="C1156" s="9"/>
      <c r="I1156" s="11"/>
      <c r="J1156" s="9"/>
      <c r="K1156" s="9"/>
    </row>
    <row r="1157" spans="3:11" x14ac:dyDescent="0.2">
      <c r="C1157" s="9"/>
      <c r="I1157" s="11"/>
      <c r="J1157" s="9"/>
      <c r="K1157" s="9"/>
    </row>
    <row r="1158" spans="3:11" x14ac:dyDescent="0.2">
      <c r="C1158" s="9"/>
      <c r="I1158" s="11"/>
      <c r="J1158" s="9"/>
      <c r="K1158" s="9"/>
    </row>
    <row r="1159" spans="3:11" x14ac:dyDescent="0.2">
      <c r="C1159" s="9"/>
      <c r="I1159" s="11"/>
      <c r="J1159" s="9"/>
      <c r="K1159" s="9"/>
    </row>
    <row r="1160" spans="3:11" x14ac:dyDescent="0.2">
      <c r="C1160" s="9"/>
      <c r="I1160" s="11"/>
      <c r="J1160" s="9"/>
      <c r="K1160" s="9"/>
    </row>
    <row r="1161" spans="3:11" x14ac:dyDescent="0.2">
      <c r="C1161" s="9"/>
      <c r="I1161" s="11"/>
      <c r="J1161" s="9"/>
      <c r="K1161" s="9"/>
    </row>
    <row r="1162" spans="3:11" x14ac:dyDescent="0.2">
      <c r="C1162" s="9"/>
      <c r="I1162" s="11"/>
      <c r="J1162" s="9"/>
      <c r="K1162" s="9"/>
    </row>
    <row r="1163" spans="3:11" x14ac:dyDescent="0.2">
      <c r="C1163" s="9"/>
      <c r="I1163" s="11"/>
      <c r="J1163" s="9"/>
      <c r="K1163" s="9"/>
    </row>
    <row r="1164" spans="3:11" x14ac:dyDescent="0.2">
      <c r="C1164" s="9"/>
      <c r="I1164" s="11"/>
      <c r="J1164" s="9"/>
      <c r="K1164" s="9"/>
    </row>
    <row r="1165" spans="3:11" x14ac:dyDescent="0.2">
      <c r="C1165" s="9"/>
      <c r="I1165" s="11"/>
      <c r="J1165" s="9"/>
      <c r="K1165" s="9"/>
    </row>
    <row r="1166" spans="3:11" x14ac:dyDescent="0.2">
      <c r="C1166" s="9"/>
      <c r="I1166" s="11"/>
      <c r="J1166" s="9"/>
      <c r="K1166" s="9"/>
    </row>
    <row r="1167" spans="3:11" x14ac:dyDescent="0.2">
      <c r="C1167" s="9"/>
      <c r="I1167" s="11"/>
      <c r="J1167" s="9"/>
      <c r="K1167" s="9"/>
    </row>
    <row r="1168" spans="3:11" x14ac:dyDescent="0.2">
      <c r="C1168" s="9"/>
      <c r="I1168" s="11"/>
      <c r="J1168" s="9"/>
      <c r="K1168" s="9"/>
    </row>
    <row r="1169" spans="3:11" x14ac:dyDescent="0.2">
      <c r="C1169" s="9"/>
      <c r="I1169" s="11"/>
      <c r="J1169" s="9"/>
      <c r="K1169" s="9"/>
    </row>
    <row r="1170" spans="3:11" x14ac:dyDescent="0.2">
      <c r="C1170" s="9"/>
      <c r="I1170" s="11"/>
      <c r="J1170" s="9"/>
      <c r="K1170" s="9"/>
    </row>
    <row r="1171" spans="3:11" x14ac:dyDescent="0.2">
      <c r="C1171" s="9"/>
      <c r="I1171" s="11"/>
      <c r="J1171" s="9"/>
      <c r="K1171" s="9"/>
    </row>
    <row r="1172" spans="3:11" x14ac:dyDescent="0.2">
      <c r="C1172" s="9"/>
      <c r="I1172" s="11"/>
      <c r="J1172" s="9"/>
      <c r="K1172" s="9"/>
    </row>
    <row r="1173" spans="3:11" x14ac:dyDescent="0.2">
      <c r="C1173" s="9"/>
      <c r="I1173" s="11"/>
      <c r="J1173" s="9"/>
      <c r="K1173" s="9"/>
    </row>
    <row r="1174" spans="3:11" x14ac:dyDescent="0.2">
      <c r="C1174" s="9"/>
      <c r="I1174" s="11"/>
      <c r="J1174" s="9"/>
      <c r="K1174" s="9"/>
    </row>
    <row r="1175" spans="3:11" x14ac:dyDescent="0.2">
      <c r="C1175" s="9"/>
      <c r="I1175" s="11"/>
      <c r="J1175" s="9"/>
      <c r="K1175" s="9"/>
    </row>
    <row r="1176" spans="3:11" x14ac:dyDescent="0.2">
      <c r="C1176" s="9"/>
      <c r="I1176" s="11"/>
      <c r="J1176" s="9"/>
      <c r="K1176" s="9"/>
    </row>
    <row r="1177" spans="3:11" x14ac:dyDescent="0.2">
      <c r="C1177" s="9"/>
      <c r="I1177" s="11"/>
      <c r="J1177" s="9"/>
      <c r="K1177" s="9"/>
    </row>
    <row r="1178" spans="3:11" x14ac:dyDescent="0.2">
      <c r="C1178" s="9"/>
      <c r="I1178" s="11"/>
      <c r="J1178" s="9"/>
      <c r="K1178" s="9"/>
    </row>
    <row r="1179" spans="3:11" x14ac:dyDescent="0.2">
      <c r="C1179" s="9"/>
      <c r="I1179" s="11"/>
      <c r="J1179" s="9"/>
      <c r="K1179" s="9"/>
    </row>
    <row r="1180" spans="3:11" x14ac:dyDescent="0.2">
      <c r="C1180" s="9"/>
      <c r="I1180" s="11"/>
      <c r="J1180" s="9"/>
      <c r="K1180" s="9"/>
    </row>
    <row r="1181" spans="3:11" x14ac:dyDescent="0.2">
      <c r="C1181" s="9"/>
      <c r="I1181" s="11"/>
      <c r="J1181" s="9"/>
      <c r="K1181" s="9"/>
    </row>
    <row r="1182" spans="3:11" x14ac:dyDescent="0.2">
      <c r="C1182" s="9"/>
      <c r="I1182" s="11"/>
      <c r="J1182" s="9"/>
      <c r="K1182" s="9"/>
    </row>
    <row r="1183" spans="3:11" x14ac:dyDescent="0.2">
      <c r="C1183" s="9"/>
      <c r="I1183" s="11"/>
      <c r="J1183" s="9"/>
      <c r="K1183" s="9"/>
    </row>
    <row r="1184" spans="3:11" x14ac:dyDescent="0.2">
      <c r="C1184" s="9"/>
      <c r="I1184" s="11"/>
      <c r="J1184" s="9"/>
      <c r="K1184" s="9"/>
    </row>
    <row r="1185" spans="3:11" x14ac:dyDescent="0.2">
      <c r="C1185" s="9"/>
      <c r="I1185" s="11"/>
      <c r="J1185" s="9"/>
      <c r="K1185" s="9"/>
    </row>
    <row r="1186" spans="3:11" x14ac:dyDescent="0.2">
      <c r="C1186" s="9"/>
      <c r="I1186" s="11"/>
      <c r="J1186" s="9"/>
      <c r="K1186" s="9"/>
    </row>
    <row r="1187" spans="3:11" x14ac:dyDescent="0.2">
      <c r="C1187" s="9"/>
      <c r="I1187" s="11"/>
      <c r="J1187" s="9"/>
      <c r="K1187" s="9"/>
    </row>
    <row r="1188" spans="3:11" x14ac:dyDescent="0.2">
      <c r="C1188" s="9"/>
      <c r="I1188" s="11"/>
      <c r="J1188" s="9"/>
      <c r="K1188" s="9"/>
    </row>
    <row r="1189" spans="3:11" x14ac:dyDescent="0.2">
      <c r="C1189" s="9"/>
      <c r="I1189" s="11"/>
      <c r="J1189" s="9"/>
      <c r="K1189" s="9"/>
    </row>
    <row r="1190" spans="3:11" x14ac:dyDescent="0.2">
      <c r="C1190" s="9"/>
      <c r="I1190" s="11"/>
      <c r="J1190" s="9"/>
      <c r="K1190" s="9"/>
    </row>
    <row r="1191" spans="3:11" x14ac:dyDescent="0.2">
      <c r="C1191" s="9"/>
      <c r="I1191" s="11"/>
      <c r="J1191" s="9"/>
      <c r="K1191" s="9"/>
    </row>
    <row r="1192" spans="3:11" x14ac:dyDescent="0.2">
      <c r="C1192" s="9"/>
      <c r="I1192" s="11"/>
      <c r="J1192" s="9"/>
      <c r="K1192" s="9"/>
    </row>
    <row r="1193" spans="3:11" x14ac:dyDescent="0.2">
      <c r="C1193" s="9"/>
      <c r="I1193" s="11"/>
      <c r="J1193" s="9"/>
      <c r="K1193" s="9"/>
    </row>
    <row r="1194" spans="3:11" x14ac:dyDescent="0.2">
      <c r="C1194" s="9"/>
      <c r="I1194" s="11"/>
      <c r="J1194" s="9"/>
      <c r="K1194" s="9"/>
    </row>
    <row r="1195" spans="3:11" x14ac:dyDescent="0.2">
      <c r="C1195" s="9"/>
      <c r="I1195" s="11"/>
      <c r="J1195" s="9"/>
      <c r="K1195" s="9"/>
    </row>
    <row r="1196" spans="3:11" x14ac:dyDescent="0.2">
      <c r="C1196" s="9"/>
      <c r="I1196" s="11"/>
      <c r="J1196" s="9"/>
      <c r="K1196" s="9"/>
    </row>
    <row r="1197" spans="3:11" x14ac:dyDescent="0.2">
      <c r="C1197" s="9"/>
      <c r="I1197" s="11"/>
      <c r="J1197" s="9"/>
      <c r="K1197" s="9"/>
    </row>
    <row r="1198" spans="3:11" x14ac:dyDescent="0.2">
      <c r="C1198" s="9"/>
      <c r="I1198" s="11"/>
      <c r="J1198" s="9"/>
      <c r="K1198" s="9"/>
    </row>
    <row r="1199" spans="3:11" x14ac:dyDescent="0.2">
      <c r="C1199" s="9"/>
      <c r="I1199" s="11"/>
      <c r="J1199" s="9"/>
      <c r="K1199" s="9"/>
    </row>
    <row r="1200" spans="3:11" x14ac:dyDescent="0.2">
      <c r="C1200" s="9"/>
      <c r="I1200" s="11"/>
      <c r="J1200" s="9"/>
      <c r="K1200" s="9"/>
    </row>
    <row r="1201" spans="3:11" x14ac:dyDescent="0.2">
      <c r="C1201" s="9"/>
      <c r="I1201" s="11"/>
      <c r="J1201" s="9"/>
      <c r="K1201" s="9"/>
    </row>
    <row r="1202" spans="3:11" x14ac:dyDescent="0.2">
      <c r="C1202" s="9"/>
      <c r="I1202" s="11"/>
      <c r="J1202" s="9"/>
      <c r="K1202" s="9"/>
    </row>
    <row r="1203" spans="3:11" x14ac:dyDescent="0.2">
      <c r="C1203" s="9"/>
      <c r="I1203" s="11"/>
      <c r="J1203" s="9"/>
      <c r="K1203" s="9"/>
    </row>
    <row r="1204" spans="3:11" x14ac:dyDescent="0.2">
      <c r="C1204" s="9"/>
      <c r="I1204" s="11"/>
      <c r="J1204" s="9"/>
      <c r="K1204" s="9"/>
    </row>
    <row r="1205" spans="3:11" x14ac:dyDescent="0.2">
      <c r="C1205" s="9"/>
      <c r="I1205" s="11"/>
      <c r="J1205" s="9"/>
      <c r="K1205" s="9"/>
    </row>
    <row r="1206" spans="3:11" x14ac:dyDescent="0.2">
      <c r="C1206" s="9"/>
      <c r="I1206" s="11"/>
      <c r="J1206" s="9"/>
      <c r="K1206" s="9"/>
    </row>
    <row r="1207" spans="3:11" x14ac:dyDescent="0.2">
      <c r="C1207" s="9"/>
      <c r="I1207" s="11"/>
      <c r="J1207" s="9"/>
      <c r="K1207" s="9"/>
    </row>
    <row r="1208" spans="3:11" x14ac:dyDescent="0.2">
      <c r="C1208" s="9"/>
      <c r="I1208" s="11"/>
      <c r="J1208" s="9"/>
      <c r="K1208" s="9"/>
    </row>
    <row r="1209" spans="3:11" x14ac:dyDescent="0.2">
      <c r="C1209" s="9"/>
      <c r="I1209" s="11"/>
      <c r="J1209" s="9"/>
      <c r="K1209" s="9"/>
    </row>
    <row r="1210" spans="3:11" x14ac:dyDescent="0.2">
      <c r="C1210" s="9"/>
      <c r="I1210" s="11"/>
      <c r="J1210" s="9"/>
      <c r="K1210" s="9"/>
    </row>
    <row r="1211" spans="3:11" x14ac:dyDescent="0.2">
      <c r="C1211" s="9"/>
      <c r="I1211" s="11"/>
      <c r="J1211" s="9"/>
      <c r="K1211" s="9"/>
    </row>
    <row r="1212" spans="3:11" x14ac:dyDescent="0.2">
      <c r="C1212" s="9"/>
      <c r="I1212" s="11"/>
      <c r="J1212" s="9"/>
      <c r="K1212" s="9"/>
    </row>
    <row r="1213" spans="3:11" x14ac:dyDescent="0.2">
      <c r="C1213" s="9"/>
      <c r="I1213" s="11"/>
      <c r="J1213" s="9"/>
      <c r="K1213" s="9"/>
    </row>
    <row r="1214" spans="3:11" x14ac:dyDescent="0.2">
      <c r="C1214" s="9"/>
      <c r="I1214" s="11"/>
      <c r="J1214" s="9"/>
      <c r="K1214" s="9"/>
    </row>
    <row r="1215" spans="3:11" x14ac:dyDescent="0.2">
      <c r="C1215" s="9"/>
      <c r="I1215" s="11"/>
      <c r="J1215" s="9"/>
      <c r="K1215" s="9"/>
    </row>
    <row r="1216" spans="3:11" x14ac:dyDescent="0.2">
      <c r="C1216" s="9"/>
      <c r="I1216" s="11"/>
      <c r="J1216" s="9"/>
      <c r="K1216" s="9"/>
    </row>
    <row r="1217" spans="3:11" x14ac:dyDescent="0.2">
      <c r="C1217" s="9"/>
      <c r="I1217" s="11"/>
      <c r="J1217" s="9"/>
      <c r="K1217" s="9"/>
    </row>
    <row r="1218" spans="3:11" x14ac:dyDescent="0.2">
      <c r="C1218" s="9"/>
      <c r="I1218" s="11"/>
      <c r="J1218" s="9"/>
      <c r="K1218" s="9"/>
    </row>
    <row r="1219" spans="3:11" x14ac:dyDescent="0.2">
      <c r="C1219" s="9"/>
      <c r="I1219" s="11"/>
      <c r="J1219" s="9"/>
      <c r="K1219" s="9"/>
    </row>
    <row r="1220" spans="3:11" x14ac:dyDescent="0.2">
      <c r="C1220" s="9"/>
      <c r="I1220" s="11"/>
      <c r="J1220" s="9"/>
      <c r="K1220" s="9"/>
    </row>
    <row r="1221" spans="3:11" x14ac:dyDescent="0.2">
      <c r="C1221" s="9"/>
      <c r="I1221" s="11"/>
      <c r="J1221" s="9"/>
      <c r="K1221" s="9"/>
    </row>
    <row r="1222" spans="3:11" x14ac:dyDescent="0.2">
      <c r="C1222" s="9"/>
      <c r="I1222" s="11"/>
      <c r="J1222" s="9"/>
      <c r="K1222" s="9"/>
    </row>
    <row r="1223" spans="3:11" x14ac:dyDescent="0.2">
      <c r="C1223" s="9"/>
      <c r="I1223" s="11"/>
      <c r="J1223" s="9"/>
      <c r="K1223" s="9"/>
    </row>
    <row r="1224" spans="3:11" x14ac:dyDescent="0.2">
      <c r="C1224" s="9"/>
      <c r="I1224" s="11"/>
      <c r="J1224" s="9"/>
      <c r="K1224" s="9"/>
    </row>
    <row r="1225" spans="3:11" x14ac:dyDescent="0.2">
      <c r="C1225" s="9"/>
      <c r="I1225" s="11"/>
      <c r="J1225" s="9"/>
      <c r="K1225" s="9"/>
    </row>
    <row r="1226" spans="3:11" x14ac:dyDescent="0.2">
      <c r="C1226" s="9"/>
      <c r="I1226" s="11"/>
      <c r="J1226" s="9"/>
      <c r="K1226" s="9"/>
    </row>
    <row r="1227" spans="3:11" x14ac:dyDescent="0.2">
      <c r="C1227" s="9"/>
      <c r="I1227" s="11"/>
      <c r="J1227" s="9"/>
      <c r="K1227" s="9"/>
    </row>
    <row r="1228" spans="3:11" x14ac:dyDescent="0.2">
      <c r="C1228" s="9"/>
      <c r="I1228" s="11"/>
      <c r="J1228" s="9"/>
      <c r="K1228" s="9"/>
    </row>
    <row r="1229" spans="3:11" x14ac:dyDescent="0.2">
      <c r="C1229" s="9"/>
      <c r="I1229" s="11"/>
      <c r="J1229" s="9"/>
      <c r="K1229" s="9"/>
    </row>
    <row r="1230" spans="3:11" x14ac:dyDescent="0.2">
      <c r="C1230" s="9"/>
      <c r="I1230" s="11"/>
      <c r="J1230" s="9"/>
      <c r="K1230" s="9"/>
    </row>
    <row r="1231" spans="3:11" x14ac:dyDescent="0.2">
      <c r="C1231" s="9"/>
      <c r="I1231" s="11"/>
      <c r="J1231" s="9"/>
      <c r="K1231" s="9"/>
    </row>
    <row r="1232" spans="3:11" x14ac:dyDescent="0.2">
      <c r="C1232" s="9"/>
      <c r="I1232" s="11"/>
      <c r="J1232" s="9"/>
      <c r="K1232" s="9"/>
    </row>
    <row r="1233" spans="3:11" x14ac:dyDescent="0.2">
      <c r="C1233" s="9"/>
      <c r="I1233" s="11"/>
      <c r="J1233" s="9"/>
      <c r="K1233" s="9"/>
    </row>
    <row r="1234" spans="3:11" x14ac:dyDescent="0.2">
      <c r="C1234" s="9"/>
      <c r="I1234" s="11"/>
      <c r="J1234" s="9"/>
      <c r="K1234" s="9"/>
    </row>
    <row r="1235" spans="3:11" x14ac:dyDescent="0.2">
      <c r="C1235" s="9"/>
      <c r="I1235" s="11"/>
      <c r="J1235" s="9"/>
      <c r="K1235" s="9"/>
    </row>
    <row r="1236" spans="3:11" x14ac:dyDescent="0.2">
      <c r="C1236" s="9"/>
      <c r="I1236" s="11"/>
      <c r="J1236" s="9"/>
      <c r="K1236" s="9"/>
    </row>
    <row r="1237" spans="3:11" x14ac:dyDescent="0.2">
      <c r="C1237" s="9"/>
      <c r="I1237" s="11"/>
      <c r="J1237" s="9"/>
      <c r="K1237" s="9"/>
    </row>
    <row r="1238" spans="3:11" x14ac:dyDescent="0.2">
      <c r="C1238" s="9"/>
      <c r="I1238" s="11"/>
      <c r="J1238" s="9"/>
      <c r="K1238" s="9"/>
    </row>
    <row r="1239" spans="3:11" x14ac:dyDescent="0.2">
      <c r="C1239" s="9"/>
      <c r="I1239" s="11"/>
      <c r="J1239" s="9"/>
      <c r="K1239" s="9"/>
    </row>
    <row r="1240" spans="3:11" x14ac:dyDescent="0.2">
      <c r="C1240" s="9"/>
      <c r="I1240" s="11"/>
      <c r="J1240" s="9"/>
      <c r="K1240" s="9"/>
    </row>
    <row r="1241" spans="3:11" x14ac:dyDescent="0.2">
      <c r="C1241" s="9"/>
      <c r="I1241" s="11"/>
      <c r="J1241" s="9"/>
      <c r="K1241" s="9"/>
    </row>
    <row r="1242" spans="3:11" x14ac:dyDescent="0.2">
      <c r="C1242" s="9"/>
      <c r="I1242" s="11"/>
      <c r="J1242" s="9"/>
      <c r="K1242" s="9"/>
    </row>
    <row r="1243" spans="3:11" x14ac:dyDescent="0.2">
      <c r="C1243" s="9"/>
      <c r="I1243" s="11"/>
      <c r="J1243" s="9"/>
      <c r="K1243" s="9"/>
    </row>
    <row r="1244" spans="3:11" x14ac:dyDescent="0.2">
      <c r="C1244" s="9"/>
      <c r="I1244" s="11"/>
      <c r="J1244" s="9"/>
      <c r="K1244" s="9"/>
    </row>
    <row r="1245" spans="3:11" x14ac:dyDescent="0.2">
      <c r="C1245" s="9"/>
      <c r="I1245" s="11"/>
      <c r="J1245" s="9"/>
      <c r="K1245" s="9"/>
    </row>
    <row r="1246" spans="3:11" x14ac:dyDescent="0.2">
      <c r="C1246" s="9"/>
      <c r="I1246" s="11"/>
      <c r="J1246" s="9"/>
      <c r="K1246" s="9"/>
    </row>
    <row r="1247" spans="3:11" x14ac:dyDescent="0.2">
      <c r="C1247" s="9"/>
      <c r="I1247" s="11"/>
      <c r="J1247" s="9"/>
      <c r="K1247" s="9"/>
    </row>
    <row r="1248" spans="3:11" x14ac:dyDescent="0.2">
      <c r="C1248" s="9"/>
      <c r="I1248" s="11"/>
      <c r="J1248" s="9"/>
      <c r="K1248" s="9"/>
    </row>
    <row r="1249" spans="3:11" x14ac:dyDescent="0.2">
      <c r="C1249" s="9"/>
      <c r="I1249" s="11"/>
      <c r="J1249" s="9"/>
      <c r="K1249" s="9"/>
    </row>
    <row r="1250" spans="3:11" x14ac:dyDescent="0.2">
      <c r="C1250" s="9"/>
      <c r="I1250" s="11"/>
      <c r="J1250" s="9"/>
      <c r="K1250" s="9"/>
    </row>
    <row r="1251" spans="3:11" x14ac:dyDescent="0.2">
      <c r="C1251" s="9"/>
      <c r="I1251" s="11"/>
      <c r="J1251" s="9"/>
      <c r="K1251" s="9"/>
    </row>
    <row r="1252" spans="3:11" x14ac:dyDescent="0.2">
      <c r="C1252" s="9"/>
      <c r="I1252" s="11"/>
      <c r="J1252" s="9"/>
      <c r="K1252" s="9"/>
    </row>
    <row r="1253" spans="3:11" x14ac:dyDescent="0.2">
      <c r="C1253" s="9"/>
      <c r="I1253" s="11"/>
      <c r="J1253" s="9"/>
      <c r="K1253" s="9"/>
    </row>
    <row r="1254" spans="3:11" x14ac:dyDescent="0.2">
      <c r="C1254" s="9"/>
      <c r="I1254" s="11"/>
      <c r="J1254" s="9"/>
      <c r="K1254" s="9"/>
    </row>
    <row r="1255" spans="3:11" x14ac:dyDescent="0.2">
      <c r="C1255" s="9"/>
      <c r="I1255" s="11"/>
      <c r="J1255" s="9"/>
      <c r="K1255" s="9"/>
    </row>
    <row r="1256" spans="3:11" x14ac:dyDescent="0.2">
      <c r="C1256" s="9"/>
      <c r="I1256" s="11"/>
      <c r="J1256" s="9"/>
      <c r="K1256" s="9"/>
    </row>
    <row r="1257" spans="3:11" x14ac:dyDescent="0.2">
      <c r="C1257" s="9"/>
      <c r="I1257" s="11"/>
      <c r="J1257" s="9"/>
      <c r="K1257" s="9"/>
    </row>
    <row r="1258" spans="3:11" x14ac:dyDescent="0.2">
      <c r="C1258" s="9"/>
      <c r="I1258" s="11"/>
      <c r="J1258" s="9"/>
      <c r="K1258" s="9"/>
    </row>
    <row r="1259" spans="3:11" x14ac:dyDescent="0.2">
      <c r="C1259" s="9"/>
      <c r="I1259" s="11"/>
      <c r="J1259" s="9"/>
      <c r="K1259" s="9"/>
    </row>
    <row r="1260" spans="3:11" x14ac:dyDescent="0.2">
      <c r="C1260" s="9"/>
      <c r="I1260" s="11"/>
      <c r="J1260" s="9"/>
      <c r="K1260" s="9"/>
    </row>
    <row r="1261" spans="3:11" x14ac:dyDescent="0.2">
      <c r="C1261" s="9"/>
      <c r="I1261" s="11"/>
      <c r="J1261" s="9"/>
      <c r="K1261" s="9"/>
    </row>
    <row r="1262" spans="3:11" x14ac:dyDescent="0.2">
      <c r="C1262" s="9"/>
      <c r="I1262" s="11"/>
      <c r="J1262" s="9"/>
      <c r="K1262" s="9"/>
    </row>
    <row r="1263" spans="3:11" x14ac:dyDescent="0.2">
      <c r="C1263" s="9"/>
      <c r="I1263" s="11"/>
      <c r="J1263" s="9"/>
      <c r="K1263" s="9"/>
    </row>
    <row r="1264" spans="3:11" x14ac:dyDescent="0.2">
      <c r="C1264" s="9"/>
      <c r="I1264" s="11"/>
      <c r="J1264" s="9"/>
      <c r="K1264" s="9"/>
    </row>
    <row r="1265" spans="3:11" x14ac:dyDescent="0.2">
      <c r="C1265" s="9"/>
      <c r="I1265" s="11"/>
      <c r="J1265" s="9"/>
      <c r="K1265" s="9"/>
    </row>
    <row r="1266" spans="3:11" x14ac:dyDescent="0.2">
      <c r="C1266" s="9"/>
      <c r="I1266" s="11"/>
      <c r="J1266" s="9"/>
      <c r="K1266" s="9"/>
    </row>
    <row r="1267" spans="3:11" x14ac:dyDescent="0.2">
      <c r="C1267" s="9"/>
      <c r="I1267" s="11"/>
      <c r="J1267" s="9"/>
      <c r="K1267" s="9"/>
    </row>
    <row r="1268" spans="3:11" x14ac:dyDescent="0.2">
      <c r="C1268" s="9"/>
      <c r="I1268" s="11"/>
      <c r="J1268" s="9"/>
      <c r="K1268" s="9"/>
    </row>
    <row r="1269" spans="3:11" x14ac:dyDescent="0.2">
      <c r="C1269" s="9"/>
      <c r="I1269" s="11"/>
      <c r="J1269" s="9"/>
      <c r="K1269" s="9"/>
    </row>
    <row r="1270" spans="3:11" x14ac:dyDescent="0.2">
      <c r="C1270" s="9"/>
      <c r="I1270" s="11"/>
      <c r="J1270" s="9"/>
      <c r="K1270" s="9"/>
    </row>
    <row r="1271" spans="3:11" x14ac:dyDescent="0.2">
      <c r="C1271" s="9"/>
      <c r="I1271" s="11"/>
      <c r="J1271" s="9"/>
      <c r="K1271" s="9"/>
    </row>
    <row r="1272" spans="3:11" x14ac:dyDescent="0.2">
      <c r="C1272" s="9"/>
      <c r="I1272" s="11"/>
      <c r="J1272" s="9"/>
      <c r="K1272" s="9"/>
    </row>
    <row r="1273" spans="3:11" x14ac:dyDescent="0.2">
      <c r="C1273" s="9"/>
      <c r="I1273" s="11"/>
      <c r="J1273" s="9"/>
      <c r="K1273" s="9"/>
    </row>
    <row r="1274" spans="3:11" x14ac:dyDescent="0.2">
      <c r="C1274" s="9"/>
      <c r="I1274" s="11"/>
      <c r="J1274" s="9"/>
      <c r="K1274" s="9"/>
    </row>
    <row r="1275" spans="3:11" x14ac:dyDescent="0.2">
      <c r="C1275" s="9"/>
      <c r="I1275" s="11"/>
      <c r="J1275" s="9"/>
      <c r="K1275" s="9"/>
    </row>
    <row r="1276" spans="3:11" x14ac:dyDescent="0.2">
      <c r="C1276" s="9"/>
      <c r="I1276" s="11"/>
      <c r="J1276" s="9"/>
      <c r="K1276" s="9"/>
    </row>
    <row r="1277" spans="3:11" x14ac:dyDescent="0.2">
      <c r="C1277" s="9"/>
      <c r="I1277" s="11"/>
      <c r="J1277" s="9"/>
      <c r="K1277" s="9"/>
    </row>
    <row r="1278" spans="3:11" x14ac:dyDescent="0.2">
      <c r="C1278" s="9"/>
      <c r="I1278" s="11"/>
      <c r="J1278" s="9"/>
      <c r="K1278" s="9"/>
    </row>
    <row r="1279" spans="3:11" x14ac:dyDescent="0.2">
      <c r="C1279" s="9"/>
      <c r="I1279" s="11"/>
      <c r="J1279" s="9"/>
      <c r="K1279" s="9"/>
    </row>
    <row r="1280" spans="3:11" x14ac:dyDescent="0.2">
      <c r="C1280" s="9"/>
      <c r="I1280" s="11"/>
      <c r="J1280" s="9"/>
      <c r="K1280" s="9"/>
    </row>
    <row r="1281" spans="3:11" x14ac:dyDescent="0.2">
      <c r="C1281" s="9"/>
      <c r="I1281" s="11"/>
      <c r="J1281" s="9"/>
      <c r="K1281" s="9"/>
    </row>
    <row r="1282" spans="3:11" x14ac:dyDescent="0.2">
      <c r="C1282" s="9"/>
      <c r="I1282" s="11"/>
      <c r="J1282" s="9"/>
      <c r="K1282" s="9"/>
    </row>
    <row r="1283" spans="3:11" x14ac:dyDescent="0.2">
      <c r="C1283" s="9"/>
      <c r="I1283" s="11"/>
      <c r="J1283" s="9"/>
      <c r="K1283" s="9"/>
    </row>
    <row r="1284" spans="3:11" x14ac:dyDescent="0.2">
      <c r="C1284" s="9"/>
      <c r="I1284" s="11"/>
      <c r="J1284" s="9"/>
      <c r="K1284" s="9"/>
    </row>
    <row r="1285" spans="3:11" x14ac:dyDescent="0.2">
      <c r="C1285" s="9"/>
      <c r="I1285" s="11"/>
      <c r="J1285" s="9"/>
      <c r="K1285" s="9"/>
    </row>
    <row r="1286" spans="3:11" x14ac:dyDescent="0.2">
      <c r="C1286" s="9"/>
      <c r="I1286" s="11"/>
      <c r="J1286" s="9"/>
      <c r="K1286" s="9"/>
    </row>
    <row r="1287" spans="3:11" x14ac:dyDescent="0.2">
      <c r="C1287" s="9"/>
      <c r="I1287" s="11"/>
      <c r="J1287" s="9"/>
      <c r="K1287" s="9"/>
    </row>
    <row r="1288" spans="3:11" x14ac:dyDescent="0.2">
      <c r="C1288" s="9"/>
      <c r="I1288" s="11"/>
      <c r="J1288" s="9"/>
      <c r="K1288" s="9"/>
    </row>
    <row r="1289" spans="3:11" x14ac:dyDescent="0.2">
      <c r="C1289" s="9"/>
      <c r="I1289" s="11"/>
      <c r="J1289" s="9"/>
      <c r="K1289" s="9"/>
    </row>
    <row r="1290" spans="3:11" x14ac:dyDescent="0.2">
      <c r="C1290" s="9"/>
      <c r="I1290" s="11"/>
      <c r="J1290" s="9"/>
      <c r="K1290" s="9"/>
    </row>
    <row r="1291" spans="3:11" x14ac:dyDescent="0.2">
      <c r="C1291" s="9"/>
      <c r="I1291" s="11"/>
      <c r="J1291" s="9"/>
      <c r="K1291" s="9"/>
    </row>
    <row r="1292" spans="3:11" x14ac:dyDescent="0.2">
      <c r="C1292" s="9"/>
      <c r="I1292" s="11"/>
      <c r="J1292" s="9"/>
      <c r="K1292" s="9"/>
    </row>
    <row r="1293" spans="3:11" x14ac:dyDescent="0.2">
      <c r="C1293" s="9"/>
      <c r="I1293" s="11"/>
      <c r="J1293" s="9"/>
      <c r="K1293" s="9"/>
    </row>
    <row r="1294" spans="3:11" x14ac:dyDescent="0.2">
      <c r="C1294" s="9"/>
      <c r="I1294" s="11"/>
      <c r="J1294" s="9"/>
      <c r="K1294" s="9"/>
    </row>
    <row r="1295" spans="3:11" x14ac:dyDescent="0.2">
      <c r="C1295" s="9"/>
      <c r="I1295" s="11"/>
      <c r="J1295" s="9"/>
      <c r="K1295" s="9"/>
    </row>
    <row r="1296" spans="3:11" x14ac:dyDescent="0.2">
      <c r="C1296" s="9"/>
      <c r="I1296" s="11"/>
      <c r="J1296" s="9"/>
      <c r="K1296" s="9"/>
    </row>
    <row r="1297" spans="3:11" x14ac:dyDescent="0.2">
      <c r="C1297" s="9"/>
      <c r="I1297" s="11"/>
      <c r="J1297" s="9"/>
      <c r="K1297" s="9"/>
    </row>
    <row r="1298" spans="3:11" x14ac:dyDescent="0.2">
      <c r="C1298" s="9"/>
      <c r="I1298" s="11"/>
      <c r="J1298" s="9"/>
      <c r="K1298" s="9"/>
    </row>
    <row r="1299" spans="3:11" x14ac:dyDescent="0.2">
      <c r="C1299" s="9"/>
      <c r="I1299" s="11"/>
      <c r="J1299" s="9"/>
      <c r="K1299" s="9"/>
    </row>
    <row r="1300" spans="3:11" x14ac:dyDescent="0.2">
      <c r="C1300" s="9"/>
      <c r="I1300" s="11"/>
      <c r="J1300" s="9"/>
      <c r="K1300" s="9"/>
    </row>
    <row r="1301" spans="3:11" x14ac:dyDescent="0.2">
      <c r="C1301" s="9"/>
      <c r="I1301" s="11"/>
      <c r="J1301" s="9"/>
      <c r="K1301" s="9"/>
    </row>
    <row r="1302" spans="3:11" x14ac:dyDescent="0.2">
      <c r="C1302" s="9"/>
      <c r="I1302" s="11"/>
      <c r="J1302" s="9"/>
      <c r="K1302" s="9"/>
    </row>
    <row r="1303" spans="3:11" x14ac:dyDescent="0.2">
      <c r="C1303" s="9"/>
      <c r="I1303" s="11"/>
      <c r="J1303" s="9"/>
      <c r="K1303" s="9"/>
    </row>
    <row r="1304" spans="3:11" x14ac:dyDescent="0.2">
      <c r="C1304" s="9"/>
      <c r="I1304" s="11"/>
      <c r="J1304" s="9"/>
      <c r="K1304" s="9"/>
    </row>
    <row r="1305" spans="3:11" x14ac:dyDescent="0.2">
      <c r="C1305" s="9"/>
      <c r="I1305" s="11"/>
      <c r="J1305" s="9"/>
      <c r="K1305" s="9"/>
    </row>
    <row r="1306" spans="3:11" x14ac:dyDescent="0.2">
      <c r="C1306" s="9"/>
      <c r="I1306" s="11"/>
      <c r="J1306" s="9"/>
      <c r="K1306" s="9"/>
    </row>
    <row r="1307" spans="3:11" x14ac:dyDescent="0.2">
      <c r="C1307" s="9"/>
      <c r="I1307" s="11"/>
      <c r="J1307" s="9"/>
      <c r="K1307" s="9"/>
    </row>
    <row r="1308" spans="3:11" x14ac:dyDescent="0.2">
      <c r="C1308" s="9"/>
      <c r="I1308" s="11"/>
      <c r="J1308" s="9"/>
      <c r="K1308" s="9"/>
    </row>
    <row r="1309" spans="3:11" x14ac:dyDescent="0.2">
      <c r="C1309" s="9"/>
      <c r="I1309" s="11"/>
      <c r="J1309" s="9"/>
      <c r="K1309" s="9"/>
    </row>
    <row r="1310" spans="3:11" x14ac:dyDescent="0.2">
      <c r="C1310" s="9"/>
      <c r="I1310" s="11"/>
      <c r="J1310" s="9"/>
      <c r="K1310" s="9"/>
    </row>
    <row r="1311" spans="3:11" x14ac:dyDescent="0.2">
      <c r="C1311" s="9"/>
      <c r="I1311" s="11"/>
      <c r="J1311" s="9"/>
      <c r="K1311" s="9"/>
    </row>
    <row r="1312" spans="3:11" x14ac:dyDescent="0.2">
      <c r="C1312" s="9"/>
      <c r="I1312" s="11"/>
      <c r="J1312" s="9"/>
      <c r="K1312" s="9"/>
    </row>
    <row r="1313" spans="3:11" x14ac:dyDescent="0.2">
      <c r="C1313" s="9"/>
      <c r="I1313" s="11"/>
      <c r="J1313" s="9"/>
      <c r="K1313" s="9"/>
    </row>
    <row r="1314" spans="3:11" x14ac:dyDescent="0.2">
      <c r="C1314" s="9"/>
      <c r="I1314" s="11"/>
      <c r="J1314" s="9"/>
      <c r="K1314" s="9"/>
    </row>
    <row r="1315" spans="3:11" x14ac:dyDescent="0.2">
      <c r="C1315" s="9"/>
      <c r="I1315" s="11"/>
      <c r="J1315" s="9"/>
      <c r="K1315" s="9"/>
    </row>
    <row r="1316" spans="3:11" x14ac:dyDescent="0.2">
      <c r="C1316" s="9"/>
      <c r="I1316" s="11"/>
      <c r="J1316" s="9"/>
      <c r="K1316" s="9"/>
    </row>
    <row r="1317" spans="3:11" x14ac:dyDescent="0.2">
      <c r="C1317" s="9"/>
      <c r="I1317" s="11"/>
      <c r="J1317" s="9"/>
      <c r="K1317" s="9"/>
    </row>
    <row r="1318" spans="3:11" x14ac:dyDescent="0.2">
      <c r="C1318" s="9"/>
      <c r="I1318" s="11"/>
      <c r="J1318" s="9"/>
      <c r="K1318" s="9"/>
    </row>
    <row r="1319" spans="3:11" x14ac:dyDescent="0.2">
      <c r="C1319" s="9"/>
      <c r="I1319" s="11"/>
      <c r="J1319" s="9"/>
      <c r="K1319" s="9"/>
    </row>
    <row r="1320" spans="3:11" x14ac:dyDescent="0.2">
      <c r="C1320" s="9"/>
      <c r="I1320" s="11"/>
      <c r="J1320" s="9"/>
      <c r="K1320" s="9"/>
    </row>
    <row r="1321" spans="3:11" x14ac:dyDescent="0.2">
      <c r="C1321" s="9"/>
      <c r="I1321" s="11"/>
      <c r="J1321" s="9"/>
      <c r="K1321" s="9"/>
    </row>
    <row r="1322" spans="3:11" x14ac:dyDescent="0.2">
      <c r="C1322" s="9"/>
      <c r="I1322" s="11"/>
      <c r="J1322" s="9"/>
      <c r="K1322" s="9"/>
    </row>
    <row r="1323" spans="3:11" x14ac:dyDescent="0.2">
      <c r="C1323" s="9"/>
      <c r="I1323" s="11"/>
      <c r="J1323" s="9"/>
      <c r="K1323" s="9"/>
    </row>
    <row r="1324" spans="3:11" x14ac:dyDescent="0.2">
      <c r="C1324" s="9"/>
      <c r="I1324" s="11"/>
      <c r="J1324" s="9"/>
      <c r="K1324" s="9"/>
    </row>
    <row r="1325" spans="3:11" x14ac:dyDescent="0.2">
      <c r="C1325" s="9"/>
      <c r="I1325" s="11"/>
      <c r="J1325" s="9"/>
      <c r="K1325" s="9"/>
    </row>
    <row r="1326" spans="3:11" x14ac:dyDescent="0.2">
      <c r="C1326" s="9"/>
      <c r="I1326" s="11"/>
      <c r="J1326" s="9"/>
      <c r="K1326" s="9"/>
    </row>
    <row r="1327" spans="3:11" x14ac:dyDescent="0.2">
      <c r="C1327" s="9"/>
      <c r="I1327" s="11"/>
      <c r="J1327" s="9"/>
      <c r="K1327" s="9"/>
    </row>
    <row r="1328" spans="3:11" x14ac:dyDescent="0.2">
      <c r="C1328" s="9"/>
      <c r="I1328" s="11"/>
      <c r="J1328" s="9"/>
      <c r="K1328" s="9"/>
    </row>
    <row r="1329" spans="3:11" x14ac:dyDescent="0.2">
      <c r="C1329" s="9"/>
      <c r="I1329" s="11"/>
      <c r="J1329" s="9"/>
      <c r="K1329" s="9"/>
    </row>
    <row r="1330" spans="3:11" x14ac:dyDescent="0.2">
      <c r="C1330" s="9"/>
      <c r="I1330" s="11"/>
      <c r="J1330" s="9"/>
      <c r="K1330" s="9"/>
    </row>
    <row r="1331" spans="3:11" x14ac:dyDescent="0.2">
      <c r="C1331" s="9"/>
      <c r="I1331" s="11"/>
      <c r="J1331" s="9"/>
      <c r="K1331" s="9"/>
    </row>
    <row r="1332" spans="3:11" x14ac:dyDescent="0.2">
      <c r="C1332" s="9"/>
      <c r="I1332" s="11"/>
      <c r="J1332" s="9"/>
      <c r="K1332" s="9"/>
    </row>
    <row r="1333" spans="3:11" x14ac:dyDescent="0.2">
      <c r="C1333" s="9"/>
      <c r="I1333" s="11"/>
      <c r="J1333" s="9"/>
      <c r="K1333" s="9"/>
    </row>
    <row r="1334" spans="3:11" x14ac:dyDescent="0.2">
      <c r="C1334" s="9"/>
      <c r="I1334" s="11"/>
      <c r="J1334" s="9"/>
      <c r="K1334" s="9"/>
    </row>
    <row r="1335" spans="3:11" x14ac:dyDescent="0.2">
      <c r="C1335" s="9"/>
      <c r="I1335" s="11"/>
      <c r="J1335" s="9"/>
      <c r="K1335" s="9"/>
    </row>
    <row r="1336" spans="3:11" x14ac:dyDescent="0.2">
      <c r="C1336" s="9"/>
      <c r="I1336" s="11"/>
      <c r="J1336" s="9"/>
      <c r="K1336" s="9"/>
    </row>
    <row r="1337" spans="3:11" x14ac:dyDescent="0.2">
      <c r="C1337" s="9"/>
      <c r="I1337" s="11"/>
      <c r="J1337" s="9"/>
      <c r="K1337" s="9"/>
    </row>
    <row r="1338" spans="3:11" x14ac:dyDescent="0.2">
      <c r="C1338" s="9"/>
      <c r="I1338" s="11"/>
      <c r="J1338" s="9"/>
      <c r="K1338" s="9"/>
    </row>
    <row r="1339" spans="3:11" x14ac:dyDescent="0.2">
      <c r="C1339" s="9"/>
      <c r="I1339" s="11"/>
      <c r="J1339" s="9"/>
      <c r="K1339" s="9"/>
    </row>
    <row r="1340" spans="3:11" x14ac:dyDescent="0.2">
      <c r="C1340" s="9"/>
      <c r="I1340" s="11"/>
      <c r="J1340" s="9"/>
      <c r="K1340" s="9"/>
    </row>
    <row r="1341" spans="3:11" x14ac:dyDescent="0.2">
      <c r="C1341" s="9"/>
      <c r="I1341" s="11"/>
      <c r="J1341" s="9"/>
      <c r="K1341" s="9"/>
    </row>
    <row r="1342" spans="3:11" x14ac:dyDescent="0.2">
      <c r="C1342" s="9"/>
      <c r="I1342" s="11"/>
      <c r="J1342" s="9"/>
      <c r="K1342" s="9"/>
    </row>
    <row r="1343" spans="3:11" x14ac:dyDescent="0.2">
      <c r="C1343" s="9"/>
      <c r="I1343" s="11"/>
      <c r="J1343" s="9"/>
      <c r="K1343" s="9"/>
    </row>
    <row r="1344" spans="3:11" x14ac:dyDescent="0.2">
      <c r="C1344" s="9"/>
      <c r="I1344" s="11"/>
      <c r="J1344" s="9"/>
      <c r="K1344" s="9"/>
    </row>
    <row r="1345" spans="3:11" x14ac:dyDescent="0.2">
      <c r="C1345" s="9"/>
      <c r="I1345" s="11"/>
      <c r="J1345" s="9"/>
      <c r="K1345" s="9"/>
    </row>
    <row r="1346" spans="3:11" x14ac:dyDescent="0.2">
      <c r="C1346" s="9"/>
      <c r="I1346" s="11"/>
      <c r="J1346" s="9"/>
      <c r="K1346" s="9"/>
    </row>
    <row r="1347" spans="3:11" x14ac:dyDescent="0.2">
      <c r="C1347" s="9"/>
      <c r="I1347" s="11"/>
      <c r="J1347" s="9"/>
      <c r="K1347" s="9"/>
    </row>
    <row r="1348" spans="3:11" x14ac:dyDescent="0.2">
      <c r="C1348" s="9"/>
      <c r="I1348" s="11"/>
      <c r="J1348" s="9"/>
      <c r="K1348" s="9"/>
    </row>
    <row r="1349" spans="3:11" x14ac:dyDescent="0.2">
      <c r="C1349" s="9"/>
      <c r="I1349" s="11"/>
      <c r="J1349" s="9"/>
      <c r="K1349" s="9"/>
    </row>
    <row r="1350" spans="3:11" x14ac:dyDescent="0.2">
      <c r="C1350" s="9"/>
      <c r="I1350" s="11"/>
      <c r="J1350" s="9"/>
      <c r="K1350" s="9"/>
    </row>
    <row r="1351" spans="3:11" x14ac:dyDescent="0.2">
      <c r="C1351" s="9"/>
      <c r="I1351" s="11"/>
      <c r="J1351" s="9"/>
      <c r="K1351" s="9"/>
    </row>
    <row r="1352" spans="3:11" x14ac:dyDescent="0.2">
      <c r="C1352" s="9"/>
      <c r="I1352" s="11"/>
      <c r="J1352" s="9"/>
      <c r="K1352" s="9"/>
    </row>
    <row r="1353" spans="3:11" x14ac:dyDescent="0.2">
      <c r="C1353" s="9"/>
      <c r="I1353" s="11"/>
      <c r="J1353" s="9"/>
      <c r="K1353" s="9"/>
    </row>
    <row r="1354" spans="3:11" x14ac:dyDescent="0.2">
      <c r="C1354" s="9"/>
      <c r="I1354" s="11"/>
      <c r="J1354" s="9"/>
      <c r="K1354" s="9"/>
    </row>
    <row r="1355" spans="3:11" x14ac:dyDescent="0.2">
      <c r="C1355" s="9"/>
      <c r="I1355" s="11"/>
      <c r="J1355" s="9"/>
      <c r="K1355" s="9"/>
    </row>
    <row r="1356" spans="3:11" x14ac:dyDescent="0.2">
      <c r="C1356" s="9"/>
      <c r="I1356" s="11"/>
      <c r="J1356" s="9"/>
      <c r="K1356" s="9"/>
    </row>
    <row r="1357" spans="3:11" x14ac:dyDescent="0.2">
      <c r="C1357" s="9"/>
      <c r="I1357" s="11"/>
      <c r="J1357" s="9"/>
      <c r="K1357" s="9"/>
    </row>
    <row r="1358" spans="3:11" x14ac:dyDescent="0.2">
      <c r="C1358" s="9"/>
      <c r="I1358" s="11"/>
      <c r="J1358" s="9"/>
      <c r="K1358" s="9"/>
    </row>
    <row r="1359" spans="3:11" x14ac:dyDescent="0.2">
      <c r="C1359" s="9"/>
      <c r="I1359" s="11"/>
      <c r="J1359" s="9"/>
      <c r="K1359" s="9"/>
    </row>
    <row r="1360" spans="3:11" x14ac:dyDescent="0.2">
      <c r="C1360" s="9"/>
      <c r="I1360" s="11"/>
      <c r="J1360" s="9"/>
      <c r="K1360" s="9"/>
    </row>
    <row r="1361" spans="3:11" x14ac:dyDescent="0.2">
      <c r="C1361" s="9"/>
      <c r="I1361" s="11"/>
      <c r="J1361" s="9"/>
      <c r="K1361" s="9"/>
    </row>
    <row r="1362" spans="3:11" x14ac:dyDescent="0.2">
      <c r="C1362" s="9"/>
      <c r="I1362" s="11"/>
      <c r="J1362" s="9"/>
      <c r="K1362" s="9"/>
    </row>
    <row r="1363" spans="3:11" x14ac:dyDescent="0.2">
      <c r="C1363" s="9"/>
      <c r="I1363" s="11"/>
      <c r="J1363" s="9"/>
      <c r="K1363" s="9"/>
    </row>
    <row r="1364" spans="3:11" x14ac:dyDescent="0.2">
      <c r="C1364" s="9"/>
      <c r="I1364" s="11"/>
      <c r="J1364" s="9"/>
      <c r="K1364" s="9"/>
    </row>
    <row r="1365" spans="3:11" x14ac:dyDescent="0.2">
      <c r="C1365" s="9"/>
      <c r="I1365" s="11"/>
      <c r="J1365" s="9"/>
      <c r="K1365" s="9"/>
    </row>
    <row r="1366" spans="3:11" x14ac:dyDescent="0.2">
      <c r="C1366" s="9"/>
      <c r="I1366" s="11"/>
      <c r="J1366" s="9"/>
      <c r="K1366" s="9"/>
    </row>
    <row r="1367" spans="3:11" x14ac:dyDescent="0.2">
      <c r="C1367" s="9"/>
      <c r="I1367" s="11"/>
      <c r="J1367" s="9"/>
      <c r="K1367" s="9"/>
    </row>
    <row r="1368" spans="3:11" x14ac:dyDescent="0.2">
      <c r="C1368" s="9"/>
      <c r="I1368" s="11"/>
      <c r="J1368" s="9"/>
      <c r="K1368" s="9"/>
    </row>
    <row r="1369" spans="3:11" x14ac:dyDescent="0.2">
      <c r="C1369" s="9"/>
      <c r="I1369" s="11"/>
      <c r="J1369" s="9"/>
      <c r="K1369" s="9"/>
    </row>
    <row r="1370" spans="3:11" x14ac:dyDescent="0.2">
      <c r="C1370" s="9"/>
      <c r="I1370" s="11"/>
      <c r="J1370" s="9"/>
      <c r="K1370" s="9"/>
    </row>
    <row r="1371" spans="3:11" x14ac:dyDescent="0.2">
      <c r="C1371" s="9"/>
      <c r="I1371" s="11"/>
      <c r="J1371" s="9"/>
      <c r="K1371" s="9"/>
    </row>
    <row r="1372" spans="3:11" x14ac:dyDescent="0.2">
      <c r="C1372" s="9"/>
      <c r="I1372" s="11"/>
      <c r="J1372" s="9"/>
      <c r="K1372" s="9"/>
    </row>
    <row r="1373" spans="3:11" x14ac:dyDescent="0.2">
      <c r="C1373" s="9"/>
      <c r="I1373" s="11"/>
      <c r="J1373" s="9"/>
      <c r="K1373" s="9"/>
    </row>
    <row r="1374" spans="3:11" x14ac:dyDescent="0.2">
      <c r="C1374" s="9"/>
      <c r="I1374" s="11"/>
      <c r="J1374" s="9"/>
      <c r="K1374" s="9"/>
    </row>
    <row r="1375" spans="3:11" x14ac:dyDescent="0.2">
      <c r="C1375" s="9"/>
      <c r="I1375" s="11"/>
      <c r="J1375" s="9"/>
      <c r="K1375" s="9"/>
    </row>
    <row r="1376" spans="3:11" x14ac:dyDescent="0.2">
      <c r="C1376" s="9"/>
      <c r="I1376" s="11"/>
      <c r="J1376" s="9"/>
      <c r="K1376" s="9"/>
    </row>
    <row r="1377" spans="3:11" x14ac:dyDescent="0.2">
      <c r="C1377" s="9"/>
      <c r="I1377" s="11"/>
      <c r="J1377" s="9"/>
      <c r="K1377" s="9"/>
    </row>
    <row r="1378" spans="3:11" x14ac:dyDescent="0.2">
      <c r="C1378" s="9"/>
      <c r="I1378" s="11"/>
      <c r="J1378" s="9"/>
      <c r="K1378" s="9"/>
    </row>
    <row r="1379" spans="3:11" x14ac:dyDescent="0.2">
      <c r="C1379" s="9"/>
      <c r="I1379" s="11"/>
      <c r="J1379" s="9"/>
      <c r="K1379" s="9"/>
    </row>
    <row r="1380" spans="3:11" x14ac:dyDescent="0.2">
      <c r="C1380" s="9"/>
      <c r="I1380" s="11"/>
      <c r="J1380" s="9"/>
      <c r="K1380" s="9"/>
    </row>
    <row r="1381" spans="3:11" x14ac:dyDescent="0.2">
      <c r="C1381" s="9"/>
      <c r="I1381" s="11"/>
      <c r="J1381" s="9"/>
      <c r="K1381" s="9"/>
    </row>
    <row r="1382" spans="3:11" x14ac:dyDescent="0.2">
      <c r="C1382" s="9"/>
      <c r="I1382" s="11"/>
      <c r="J1382" s="9"/>
      <c r="K1382" s="9"/>
    </row>
    <row r="1383" spans="3:11" x14ac:dyDescent="0.2">
      <c r="C1383" s="9"/>
      <c r="I1383" s="11"/>
      <c r="J1383" s="9"/>
      <c r="K1383" s="9"/>
    </row>
    <row r="1384" spans="3:11" x14ac:dyDescent="0.2">
      <c r="C1384" s="9"/>
      <c r="I1384" s="11"/>
      <c r="J1384" s="9"/>
      <c r="K1384" s="9"/>
    </row>
    <row r="1385" spans="3:11" x14ac:dyDescent="0.2">
      <c r="C1385" s="9"/>
      <c r="I1385" s="11"/>
      <c r="J1385" s="9"/>
      <c r="K1385" s="9"/>
    </row>
    <row r="1386" spans="3:11" x14ac:dyDescent="0.2">
      <c r="C1386" s="9"/>
      <c r="I1386" s="11"/>
      <c r="J1386" s="9"/>
      <c r="K1386" s="9"/>
    </row>
    <row r="1387" spans="3:11" x14ac:dyDescent="0.2">
      <c r="C1387" s="9"/>
      <c r="I1387" s="11"/>
      <c r="J1387" s="9"/>
      <c r="K1387" s="9"/>
    </row>
    <row r="1388" spans="3:11" x14ac:dyDescent="0.2">
      <c r="C1388" s="9"/>
      <c r="I1388" s="11"/>
      <c r="J1388" s="9"/>
      <c r="K1388" s="9"/>
    </row>
    <row r="1389" spans="3:11" x14ac:dyDescent="0.2">
      <c r="C1389" s="9"/>
      <c r="I1389" s="11"/>
      <c r="J1389" s="9"/>
      <c r="K1389" s="9"/>
    </row>
    <row r="1390" spans="3:11" x14ac:dyDescent="0.2">
      <c r="C1390" s="9"/>
      <c r="I1390" s="11"/>
      <c r="J1390" s="9"/>
      <c r="K1390" s="9"/>
    </row>
    <row r="1391" spans="3:11" x14ac:dyDescent="0.2">
      <c r="C1391" s="9"/>
      <c r="I1391" s="11"/>
      <c r="J1391" s="9"/>
      <c r="K1391" s="9"/>
    </row>
    <row r="1392" spans="3:11" x14ac:dyDescent="0.2">
      <c r="C1392" s="9"/>
      <c r="I1392" s="11"/>
      <c r="J1392" s="9"/>
      <c r="K1392" s="9"/>
    </row>
    <row r="1393" spans="3:11" x14ac:dyDescent="0.2">
      <c r="C1393" s="9"/>
      <c r="I1393" s="11"/>
      <c r="J1393" s="9"/>
      <c r="K1393" s="9"/>
    </row>
    <row r="1394" spans="3:11" x14ac:dyDescent="0.2">
      <c r="C1394" s="9"/>
      <c r="I1394" s="11"/>
      <c r="J1394" s="9"/>
      <c r="K1394" s="9"/>
    </row>
    <row r="1395" spans="3:11" x14ac:dyDescent="0.2">
      <c r="C1395" s="9"/>
      <c r="I1395" s="11"/>
      <c r="J1395" s="9"/>
      <c r="K1395" s="9"/>
    </row>
    <row r="1396" spans="3:11" x14ac:dyDescent="0.2">
      <c r="C1396" s="9"/>
      <c r="I1396" s="11"/>
      <c r="J1396" s="9"/>
      <c r="K1396" s="9"/>
    </row>
    <row r="1397" spans="3:11" x14ac:dyDescent="0.2">
      <c r="C1397" s="9"/>
      <c r="I1397" s="11"/>
      <c r="J1397" s="9"/>
      <c r="K1397" s="9"/>
    </row>
    <row r="1398" spans="3:11" x14ac:dyDescent="0.2">
      <c r="C1398" s="9"/>
      <c r="I1398" s="11"/>
      <c r="J1398" s="9"/>
      <c r="K1398" s="9"/>
    </row>
    <row r="1399" spans="3:11" x14ac:dyDescent="0.2">
      <c r="C1399" s="9"/>
      <c r="I1399" s="11"/>
      <c r="J1399" s="9"/>
      <c r="K1399" s="9"/>
    </row>
    <row r="1400" spans="3:11" x14ac:dyDescent="0.2">
      <c r="C1400" s="9"/>
      <c r="I1400" s="11"/>
      <c r="J1400" s="9"/>
      <c r="K1400" s="9"/>
    </row>
    <row r="1401" spans="3:11" x14ac:dyDescent="0.2">
      <c r="C1401" s="9"/>
      <c r="I1401" s="11"/>
      <c r="J1401" s="9"/>
      <c r="K1401" s="9"/>
    </row>
    <row r="1402" spans="3:11" x14ac:dyDescent="0.2">
      <c r="C1402" s="9"/>
      <c r="I1402" s="11"/>
      <c r="J1402" s="9"/>
      <c r="K1402" s="9"/>
    </row>
    <row r="1403" spans="3:11" x14ac:dyDescent="0.2">
      <c r="C1403" s="9"/>
      <c r="I1403" s="11"/>
      <c r="J1403" s="9"/>
      <c r="K1403" s="9"/>
    </row>
    <row r="1404" spans="3:11" x14ac:dyDescent="0.2">
      <c r="C1404" s="9"/>
      <c r="I1404" s="11"/>
      <c r="J1404" s="9"/>
      <c r="K1404" s="9"/>
    </row>
    <row r="1405" spans="3:11" x14ac:dyDescent="0.2">
      <c r="C1405" s="9"/>
      <c r="I1405" s="11"/>
      <c r="J1405" s="9"/>
      <c r="K1405" s="9"/>
    </row>
    <row r="1406" spans="3:11" x14ac:dyDescent="0.2">
      <c r="C1406" s="9"/>
      <c r="I1406" s="11"/>
      <c r="J1406" s="9"/>
      <c r="K1406" s="9"/>
    </row>
    <row r="1407" spans="3:11" x14ac:dyDescent="0.2">
      <c r="C1407" s="9"/>
      <c r="I1407" s="11"/>
      <c r="J1407" s="9"/>
      <c r="K1407" s="9"/>
    </row>
    <row r="1408" spans="3:11" x14ac:dyDescent="0.2">
      <c r="C1408" s="9"/>
      <c r="I1408" s="11"/>
      <c r="J1408" s="9"/>
      <c r="K1408" s="9"/>
    </row>
    <row r="1409" spans="3:11" x14ac:dyDescent="0.2">
      <c r="C1409" s="9"/>
      <c r="I1409" s="11"/>
      <c r="J1409" s="9"/>
      <c r="K1409" s="9"/>
    </row>
    <row r="1410" spans="3:11" x14ac:dyDescent="0.2">
      <c r="C1410" s="9"/>
      <c r="I1410" s="11"/>
      <c r="J1410" s="9"/>
      <c r="K1410" s="9"/>
    </row>
    <row r="1411" spans="3:11" x14ac:dyDescent="0.2">
      <c r="C1411" s="9"/>
      <c r="I1411" s="11"/>
      <c r="J1411" s="9"/>
      <c r="K1411" s="9"/>
    </row>
    <row r="1412" spans="3:11" x14ac:dyDescent="0.2">
      <c r="C1412" s="9"/>
      <c r="I1412" s="11"/>
      <c r="J1412" s="9"/>
      <c r="K1412" s="9"/>
    </row>
    <row r="1413" spans="3:11" x14ac:dyDescent="0.2">
      <c r="C1413" s="9"/>
      <c r="I1413" s="11"/>
      <c r="J1413" s="9"/>
      <c r="K1413" s="9"/>
    </row>
    <row r="1414" spans="3:11" x14ac:dyDescent="0.2">
      <c r="C1414" s="9"/>
      <c r="I1414" s="11"/>
      <c r="J1414" s="9"/>
      <c r="K1414" s="9"/>
    </row>
    <row r="1415" spans="3:11" x14ac:dyDescent="0.2">
      <c r="C1415" s="9"/>
      <c r="I1415" s="11"/>
      <c r="J1415" s="9"/>
      <c r="K1415" s="9"/>
    </row>
    <row r="1416" spans="3:11" x14ac:dyDescent="0.2">
      <c r="C1416" s="9"/>
      <c r="I1416" s="11"/>
      <c r="J1416" s="9"/>
      <c r="K1416" s="9"/>
    </row>
    <row r="1417" spans="3:11" x14ac:dyDescent="0.2">
      <c r="C1417" s="9"/>
      <c r="I1417" s="11"/>
      <c r="J1417" s="9"/>
      <c r="K1417" s="9"/>
    </row>
    <row r="1418" spans="3:11" x14ac:dyDescent="0.2">
      <c r="C1418" s="9"/>
      <c r="I1418" s="11"/>
      <c r="J1418" s="9"/>
      <c r="K1418" s="9"/>
    </row>
    <row r="1419" spans="3:11" x14ac:dyDescent="0.2">
      <c r="C1419" s="9"/>
      <c r="I1419" s="11"/>
      <c r="J1419" s="9"/>
      <c r="K1419" s="9"/>
    </row>
    <row r="1420" spans="3:11" x14ac:dyDescent="0.2">
      <c r="C1420" s="9"/>
      <c r="I1420" s="11"/>
      <c r="J1420" s="9"/>
      <c r="K1420" s="9"/>
    </row>
    <row r="1421" spans="3:11" x14ac:dyDescent="0.2">
      <c r="C1421" s="9"/>
      <c r="I1421" s="11"/>
      <c r="J1421" s="9"/>
      <c r="K1421" s="9"/>
    </row>
    <row r="1422" spans="3:11" x14ac:dyDescent="0.2">
      <c r="C1422" s="9"/>
      <c r="I1422" s="11"/>
      <c r="J1422" s="9"/>
      <c r="K1422" s="9"/>
    </row>
    <row r="1423" spans="3:11" x14ac:dyDescent="0.2">
      <c r="C1423" s="9"/>
      <c r="I1423" s="11"/>
      <c r="J1423" s="9"/>
      <c r="K1423" s="9"/>
    </row>
    <row r="1424" spans="3:11" x14ac:dyDescent="0.2">
      <c r="C1424" s="9"/>
      <c r="I1424" s="11"/>
      <c r="J1424" s="9"/>
      <c r="K1424" s="9"/>
    </row>
    <row r="1425" spans="3:11" x14ac:dyDescent="0.2">
      <c r="C1425" s="9"/>
      <c r="I1425" s="11"/>
      <c r="J1425" s="9"/>
      <c r="K1425" s="9"/>
    </row>
    <row r="1426" spans="3:11" x14ac:dyDescent="0.2">
      <c r="C1426" s="9"/>
      <c r="I1426" s="11"/>
      <c r="J1426" s="9"/>
      <c r="K1426" s="9"/>
    </row>
    <row r="1427" spans="3:11" x14ac:dyDescent="0.2">
      <c r="C1427" s="9"/>
      <c r="I1427" s="11"/>
      <c r="J1427" s="9"/>
      <c r="K1427" s="9"/>
    </row>
    <row r="1428" spans="3:11" x14ac:dyDescent="0.2">
      <c r="C1428" s="9"/>
      <c r="I1428" s="11"/>
      <c r="J1428" s="9"/>
      <c r="K1428" s="9"/>
    </row>
    <row r="1429" spans="3:11" x14ac:dyDescent="0.2">
      <c r="C1429" s="9"/>
      <c r="I1429" s="11"/>
      <c r="J1429" s="9"/>
      <c r="K1429" s="9"/>
    </row>
    <row r="1430" spans="3:11" x14ac:dyDescent="0.2">
      <c r="C1430" s="9"/>
      <c r="I1430" s="11"/>
      <c r="J1430" s="9"/>
      <c r="K1430" s="9"/>
    </row>
    <row r="1431" spans="3:11" x14ac:dyDescent="0.2">
      <c r="C1431" s="9"/>
      <c r="I1431" s="11"/>
      <c r="J1431" s="9"/>
      <c r="K1431" s="9"/>
    </row>
    <row r="1432" spans="3:11" x14ac:dyDescent="0.2">
      <c r="C1432" s="9"/>
      <c r="I1432" s="11"/>
      <c r="J1432" s="9"/>
      <c r="K1432" s="9"/>
    </row>
    <row r="1433" spans="3:11" x14ac:dyDescent="0.2">
      <c r="C1433" s="9"/>
      <c r="I1433" s="11"/>
      <c r="J1433" s="9"/>
      <c r="K1433" s="9"/>
    </row>
    <row r="1434" spans="3:11" x14ac:dyDescent="0.2">
      <c r="C1434" s="9"/>
      <c r="I1434" s="11"/>
      <c r="J1434" s="9"/>
      <c r="K1434" s="9"/>
    </row>
    <row r="1435" spans="3:11" x14ac:dyDescent="0.2">
      <c r="C1435" s="9"/>
      <c r="I1435" s="11"/>
      <c r="J1435" s="9"/>
      <c r="K1435" s="9"/>
    </row>
    <row r="1436" spans="3:11" x14ac:dyDescent="0.2">
      <c r="C1436" s="9"/>
      <c r="I1436" s="11"/>
      <c r="J1436" s="9"/>
      <c r="K1436" s="9"/>
    </row>
    <row r="1437" spans="3:11" x14ac:dyDescent="0.2">
      <c r="C1437" s="9"/>
      <c r="I1437" s="11"/>
      <c r="J1437" s="9"/>
      <c r="K1437" s="9"/>
    </row>
    <row r="1438" spans="3:11" x14ac:dyDescent="0.2">
      <c r="C1438" s="9"/>
      <c r="I1438" s="11"/>
      <c r="J1438" s="9"/>
      <c r="K1438" s="9"/>
    </row>
    <row r="1439" spans="3:11" x14ac:dyDescent="0.2">
      <c r="C1439" s="9"/>
      <c r="I1439" s="11"/>
      <c r="J1439" s="9"/>
      <c r="K1439" s="9"/>
    </row>
    <row r="1440" spans="3:11" x14ac:dyDescent="0.2">
      <c r="C1440" s="9"/>
      <c r="I1440" s="11"/>
      <c r="J1440" s="9"/>
      <c r="K1440" s="9"/>
    </row>
    <row r="1441" spans="3:11" x14ac:dyDescent="0.2">
      <c r="C1441" s="9"/>
      <c r="I1441" s="11"/>
      <c r="J1441" s="9"/>
      <c r="K1441" s="9"/>
    </row>
    <row r="1442" spans="3:11" x14ac:dyDescent="0.2">
      <c r="C1442" s="9"/>
      <c r="I1442" s="11"/>
      <c r="J1442" s="9"/>
      <c r="K1442" s="9"/>
    </row>
    <row r="1443" spans="3:11" x14ac:dyDescent="0.2">
      <c r="C1443" s="9"/>
      <c r="I1443" s="11"/>
      <c r="J1443" s="9"/>
      <c r="K1443" s="9"/>
    </row>
    <row r="1444" spans="3:11" x14ac:dyDescent="0.2">
      <c r="C1444" s="9"/>
      <c r="I1444" s="11"/>
      <c r="J1444" s="9"/>
      <c r="K1444" s="9"/>
    </row>
    <row r="1445" spans="3:11" x14ac:dyDescent="0.2">
      <c r="C1445" s="9"/>
      <c r="I1445" s="11"/>
      <c r="J1445" s="9"/>
      <c r="K1445" s="9"/>
    </row>
    <row r="1446" spans="3:11" x14ac:dyDescent="0.2">
      <c r="C1446" s="9"/>
      <c r="I1446" s="11"/>
      <c r="J1446" s="9"/>
      <c r="K1446" s="9"/>
    </row>
    <row r="1447" spans="3:11" x14ac:dyDescent="0.2">
      <c r="C1447" s="9"/>
      <c r="I1447" s="11"/>
      <c r="J1447" s="9"/>
      <c r="K1447" s="9"/>
    </row>
    <row r="1448" spans="3:11" x14ac:dyDescent="0.2">
      <c r="C1448" s="9"/>
      <c r="I1448" s="11"/>
      <c r="J1448" s="9"/>
      <c r="K1448" s="9"/>
    </row>
    <row r="1449" spans="3:11" x14ac:dyDescent="0.2">
      <c r="C1449" s="9"/>
      <c r="I1449" s="11"/>
      <c r="J1449" s="9"/>
      <c r="K1449" s="9"/>
    </row>
    <row r="1450" spans="3:11" x14ac:dyDescent="0.2">
      <c r="C1450" s="9"/>
      <c r="I1450" s="11"/>
      <c r="J1450" s="9"/>
      <c r="K1450" s="9"/>
    </row>
    <row r="1451" spans="3:11" x14ac:dyDescent="0.2">
      <c r="C1451" s="9"/>
      <c r="I1451" s="11"/>
      <c r="J1451" s="9"/>
      <c r="K1451" s="9"/>
    </row>
    <row r="1452" spans="3:11" x14ac:dyDescent="0.2">
      <c r="C1452" s="9"/>
      <c r="I1452" s="11"/>
      <c r="J1452" s="9"/>
      <c r="K1452" s="9"/>
    </row>
    <row r="1453" spans="3:11" x14ac:dyDescent="0.2">
      <c r="C1453" s="9"/>
      <c r="I1453" s="11"/>
      <c r="J1453" s="9"/>
      <c r="K1453" s="9"/>
    </row>
    <row r="1454" spans="3:11" x14ac:dyDescent="0.2">
      <c r="C1454" s="9"/>
      <c r="I1454" s="11"/>
      <c r="J1454" s="9"/>
      <c r="K1454" s="9"/>
    </row>
    <row r="1455" spans="3:11" x14ac:dyDescent="0.2">
      <c r="C1455" s="9"/>
      <c r="I1455" s="11"/>
      <c r="J1455" s="9"/>
      <c r="K1455" s="9"/>
    </row>
    <row r="1456" spans="3:11" x14ac:dyDescent="0.2">
      <c r="C1456" s="9"/>
      <c r="I1456" s="11"/>
      <c r="J1456" s="9"/>
      <c r="K1456" s="9"/>
    </row>
    <row r="1457" spans="3:11" x14ac:dyDescent="0.2">
      <c r="C1457" s="9"/>
      <c r="I1457" s="11"/>
      <c r="J1457" s="9"/>
      <c r="K1457" s="9"/>
    </row>
    <row r="1458" spans="3:11" x14ac:dyDescent="0.2">
      <c r="C1458" s="9"/>
      <c r="I1458" s="11"/>
      <c r="J1458" s="9"/>
      <c r="K1458" s="9"/>
    </row>
    <row r="1459" spans="3:11" x14ac:dyDescent="0.2">
      <c r="C1459" s="9"/>
      <c r="I1459" s="11"/>
      <c r="J1459" s="9"/>
      <c r="K1459" s="9"/>
    </row>
    <row r="1460" spans="3:11" x14ac:dyDescent="0.2">
      <c r="C1460" s="9"/>
      <c r="I1460" s="11"/>
      <c r="J1460" s="9"/>
      <c r="K1460" s="9"/>
    </row>
    <row r="1461" spans="3:11" x14ac:dyDescent="0.2">
      <c r="C1461" s="9"/>
      <c r="I1461" s="11"/>
      <c r="J1461" s="9"/>
      <c r="K1461" s="9"/>
    </row>
    <row r="1462" spans="3:11" x14ac:dyDescent="0.2">
      <c r="C1462" s="9"/>
      <c r="I1462" s="11"/>
      <c r="J1462" s="9"/>
      <c r="K1462" s="9"/>
    </row>
    <row r="1463" spans="3:11" x14ac:dyDescent="0.2">
      <c r="C1463" s="9"/>
      <c r="I1463" s="11"/>
      <c r="J1463" s="9"/>
      <c r="K1463" s="9"/>
    </row>
    <row r="1464" spans="3:11" x14ac:dyDescent="0.2">
      <c r="C1464" s="9"/>
      <c r="I1464" s="11"/>
      <c r="J1464" s="9"/>
      <c r="K1464" s="9"/>
    </row>
    <row r="1465" spans="3:11" x14ac:dyDescent="0.2">
      <c r="C1465" s="9"/>
      <c r="I1465" s="11"/>
      <c r="J1465" s="9"/>
      <c r="K1465" s="9"/>
    </row>
    <row r="1466" spans="3:11" x14ac:dyDescent="0.2">
      <c r="C1466" s="9"/>
      <c r="I1466" s="11"/>
      <c r="J1466" s="9"/>
      <c r="K1466" s="9"/>
    </row>
    <row r="1467" spans="3:11" x14ac:dyDescent="0.2">
      <c r="C1467" s="9"/>
      <c r="I1467" s="11"/>
      <c r="J1467" s="9"/>
      <c r="K1467" s="9"/>
    </row>
    <row r="1468" spans="3:11" x14ac:dyDescent="0.2">
      <c r="C1468" s="9"/>
      <c r="I1468" s="11"/>
      <c r="J1468" s="9"/>
      <c r="K1468" s="9"/>
    </row>
    <row r="1469" spans="3:11" x14ac:dyDescent="0.2">
      <c r="C1469" s="9"/>
      <c r="I1469" s="11"/>
      <c r="J1469" s="9"/>
      <c r="K1469" s="9"/>
    </row>
    <row r="1470" spans="3:11" x14ac:dyDescent="0.2">
      <c r="C1470" s="9"/>
      <c r="I1470" s="11"/>
      <c r="J1470" s="9"/>
      <c r="K1470" s="9"/>
    </row>
    <row r="1471" spans="3:11" x14ac:dyDescent="0.2">
      <c r="C1471" s="9"/>
      <c r="I1471" s="11"/>
      <c r="J1471" s="9"/>
      <c r="K1471" s="9"/>
    </row>
    <row r="1472" spans="3:11" x14ac:dyDescent="0.2">
      <c r="C1472" s="9"/>
      <c r="I1472" s="11"/>
      <c r="J1472" s="9"/>
      <c r="K1472" s="9"/>
    </row>
    <row r="1473" spans="3:11" x14ac:dyDescent="0.2">
      <c r="C1473" s="9"/>
      <c r="I1473" s="11"/>
      <c r="J1473" s="9"/>
      <c r="K1473" s="9"/>
    </row>
    <row r="1474" spans="3:11" x14ac:dyDescent="0.2">
      <c r="C1474" s="9"/>
      <c r="I1474" s="11"/>
      <c r="J1474" s="9"/>
      <c r="K1474" s="9"/>
    </row>
    <row r="1475" spans="3:11" x14ac:dyDescent="0.2">
      <c r="C1475" s="9"/>
      <c r="I1475" s="11"/>
      <c r="J1475" s="9"/>
      <c r="K1475" s="9"/>
    </row>
    <row r="1476" spans="3:11" x14ac:dyDescent="0.2">
      <c r="C1476" s="9"/>
      <c r="I1476" s="11"/>
      <c r="J1476" s="9"/>
      <c r="K1476" s="9"/>
    </row>
    <row r="1477" spans="3:11" x14ac:dyDescent="0.2">
      <c r="C1477" s="9"/>
      <c r="I1477" s="11"/>
      <c r="J1477" s="9"/>
      <c r="K1477" s="9"/>
    </row>
    <row r="1478" spans="3:11" x14ac:dyDescent="0.2">
      <c r="C1478" s="9"/>
      <c r="I1478" s="11"/>
      <c r="J1478" s="9"/>
      <c r="K1478" s="9"/>
    </row>
    <row r="1479" spans="3:11" x14ac:dyDescent="0.2">
      <c r="C1479" s="9"/>
      <c r="I1479" s="11"/>
      <c r="J1479" s="9"/>
      <c r="K1479" s="9"/>
    </row>
    <row r="1480" spans="3:11" x14ac:dyDescent="0.2">
      <c r="C1480" s="9"/>
      <c r="I1480" s="11"/>
      <c r="J1480" s="9"/>
      <c r="K1480" s="9"/>
    </row>
    <row r="1481" spans="3:11" x14ac:dyDescent="0.2">
      <c r="C1481" s="9"/>
      <c r="I1481" s="11"/>
      <c r="J1481" s="9"/>
      <c r="K1481" s="9"/>
    </row>
    <row r="1482" spans="3:11" x14ac:dyDescent="0.2">
      <c r="C1482" s="9"/>
      <c r="I1482" s="11"/>
      <c r="J1482" s="9"/>
      <c r="K1482" s="9"/>
    </row>
    <row r="1483" spans="3:11" x14ac:dyDescent="0.2">
      <c r="C1483" s="9"/>
      <c r="I1483" s="11"/>
      <c r="J1483" s="9"/>
      <c r="K1483" s="9"/>
    </row>
    <row r="1484" spans="3:11" x14ac:dyDescent="0.2">
      <c r="C1484" s="9"/>
      <c r="I1484" s="11"/>
      <c r="J1484" s="9"/>
      <c r="K1484" s="9"/>
    </row>
    <row r="1485" spans="3:11" x14ac:dyDescent="0.2">
      <c r="C1485" s="9"/>
      <c r="I1485" s="11"/>
      <c r="J1485" s="9"/>
      <c r="K1485" s="9"/>
    </row>
    <row r="1486" spans="3:11" x14ac:dyDescent="0.2">
      <c r="C1486" s="9"/>
      <c r="I1486" s="11"/>
      <c r="J1486" s="9"/>
      <c r="K1486" s="9"/>
    </row>
    <row r="1487" spans="3:11" x14ac:dyDescent="0.2">
      <c r="C1487" s="9"/>
      <c r="I1487" s="11"/>
      <c r="J1487" s="9"/>
      <c r="K1487" s="9"/>
    </row>
    <row r="1488" spans="3:11" x14ac:dyDescent="0.2">
      <c r="C1488" s="9"/>
      <c r="I1488" s="11"/>
      <c r="J1488" s="9"/>
      <c r="K1488" s="9"/>
    </row>
    <row r="1489" spans="3:11" x14ac:dyDescent="0.2">
      <c r="C1489" s="9"/>
      <c r="I1489" s="11"/>
      <c r="J1489" s="9"/>
      <c r="K1489" s="9"/>
    </row>
    <row r="1490" spans="3:11" x14ac:dyDescent="0.2">
      <c r="C1490" s="9"/>
      <c r="I1490" s="11"/>
      <c r="J1490" s="9"/>
      <c r="K1490" s="9"/>
    </row>
    <row r="1491" spans="3:11" x14ac:dyDescent="0.2">
      <c r="C1491" s="9"/>
      <c r="I1491" s="11"/>
      <c r="J1491" s="9"/>
      <c r="K1491" s="9"/>
    </row>
    <row r="1492" spans="3:11" x14ac:dyDescent="0.2">
      <c r="C1492" s="9"/>
      <c r="I1492" s="11"/>
      <c r="J1492" s="9"/>
      <c r="K1492" s="9"/>
    </row>
    <row r="1493" spans="3:11" x14ac:dyDescent="0.2">
      <c r="C1493" s="9"/>
      <c r="I1493" s="11"/>
      <c r="J1493" s="9"/>
      <c r="K1493" s="9"/>
    </row>
    <row r="1494" spans="3:11" x14ac:dyDescent="0.2">
      <c r="C1494" s="9"/>
      <c r="I1494" s="11"/>
      <c r="J1494" s="9"/>
      <c r="K1494" s="9"/>
    </row>
    <row r="1495" spans="3:11" x14ac:dyDescent="0.2">
      <c r="C1495" s="9"/>
      <c r="I1495" s="11"/>
      <c r="J1495" s="9"/>
      <c r="K1495" s="9"/>
    </row>
    <row r="1496" spans="3:11" x14ac:dyDescent="0.2">
      <c r="C1496" s="9"/>
      <c r="I1496" s="11"/>
      <c r="J1496" s="9"/>
      <c r="K1496" s="9"/>
    </row>
    <row r="1497" spans="3:11" x14ac:dyDescent="0.2">
      <c r="C1497" s="9"/>
      <c r="I1497" s="11"/>
      <c r="J1497" s="9"/>
      <c r="K1497" s="9"/>
    </row>
    <row r="1498" spans="3:11" x14ac:dyDescent="0.2">
      <c r="C1498" s="9"/>
      <c r="I1498" s="11"/>
      <c r="J1498" s="9"/>
      <c r="K1498" s="9"/>
    </row>
    <row r="1499" spans="3:11" x14ac:dyDescent="0.2">
      <c r="C1499" s="9"/>
      <c r="I1499" s="11"/>
      <c r="J1499" s="9"/>
      <c r="K1499" s="9"/>
    </row>
    <row r="1500" spans="3:11" x14ac:dyDescent="0.2">
      <c r="C1500" s="9"/>
      <c r="I1500" s="11"/>
      <c r="J1500" s="9"/>
      <c r="K1500" s="9"/>
    </row>
    <row r="1501" spans="3:11" x14ac:dyDescent="0.2">
      <c r="C1501" s="9"/>
      <c r="I1501" s="11"/>
      <c r="J1501" s="9"/>
      <c r="K1501" s="9"/>
    </row>
    <row r="1502" spans="3:11" x14ac:dyDescent="0.2">
      <c r="C1502" s="9"/>
      <c r="I1502" s="11"/>
      <c r="J1502" s="9"/>
      <c r="K1502" s="9"/>
    </row>
    <row r="1503" spans="3:11" x14ac:dyDescent="0.2">
      <c r="C1503" s="9"/>
      <c r="I1503" s="11"/>
      <c r="J1503" s="9"/>
      <c r="K1503" s="9"/>
    </row>
    <row r="1504" spans="3:11" x14ac:dyDescent="0.2">
      <c r="C1504" s="9"/>
      <c r="I1504" s="11"/>
      <c r="J1504" s="9"/>
      <c r="K1504" s="9"/>
    </row>
    <row r="1505" spans="3:11" x14ac:dyDescent="0.2">
      <c r="C1505" s="9"/>
      <c r="I1505" s="11"/>
      <c r="J1505" s="9"/>
      <c r="K1505" s="9"/>
    </row>
    <row r="1506" spans="3:11" x14ac:dyDescent="0.2">
      <c r="C1506" s="9"/>
      <c r="I1506" s="11"/>
      <c r="J1506" s="9"/>
      <c r="K1506" s="9"/>
    </row>
    <row r="1507" spans="3:11" x14ac:dyDescent="0.2">
      <c r="C1507" s="9"/>
      <c r="I1507" s="11"/>
      <c r="J1507" s="9"/>
      <c r="K1507" s="9"/>
    </row>
    <row r="1508" spans="3:11" x14ac:dyDescent="0.2">
      <c r="C1508" s="9"/>
      <c r="I1508" s="11"/>
      <c r="J1508" s="9"/>
      <c r="K1508" s="9"/>
    </row>
    <row r="1509" spans="3:11" x14ac:dyDescent="0.2">
      <c r="C1509" s="9"/>
      <c r="I1509" s="11"/>
      <c r="J1509" s="9"/>
      <c r="K1509" s="9"/>
    </row>
    <row r="1510" spans="3:11" x14ac:dyDescent="0.2">
      <c r="C1510" s="9"/>
      <c r="I1510" s="11"/>
      <c r="J1510" s="9"/>
      <c r="K1510" s="9"/>
    </row>
    <row r="1511" spans="3:11" x14ac:dyDescent="0.2">
      <c r="C1511" s="9"/>
      <c r="I1511" s="11"/>
      <c r="J1511" s="9"/>
      <c r="K1511" s="9"/>
    </row>
    <row r="1512" spans="3:11" x14ac:dyDescent="0.2">
      <c r="C1512" s="9"/>
      <c r="I1512" s="11"/>
      <c r="J1512" s="9"/>
      <c r="K1512" s="9"/>
    </row>
    <row r="1513" spans="3:11" x14ac:dyDescent="0.2">
      <c r="C1513" s="9"/>
      <c r="I1513" s="11"/>
      <c r="J1513" s="9"/>
      <c r="K1513" s="9"/>
    </row>
    <row r="1514" spans="3:11" x14ac:dyDescent="0.2">
      <c r="C1514" s="9"/>
      <c r="I1514" s="11"/>
      <c r="J1514" s="9"/>
      <c r="K1514" s="9"/>
    </row>
    <row r="1515" spans="3:11" x14ac:dyDescent="0.2">
      <c r="C1515" s="9"/>
      <c r="I1515" s="11"/>
      <c r="J1515" s="9"/>
      <c r="K1515" s="9"/>
    </row>
    <row r="1516" spans="3:11" x14ac:dyDescent="0.2">
      <c r="C1516" s="9"/>
      <c r="I1516" s="11"/>
      <c r="J1516" s="9"/>
      <c r="K1516" s="9"/>
    </row>
    <row r="1517" spans="3:11" x14ac:dyDescent="0.2">
      <c r="C1517" s="9"/>
      <c r="I1517" s="11"/>
      <c r="J1517" s="9"/>
      <c r="K1517" s="9"/>
    </row>
    <row r="1518" spans="3:11" x14ac:dyDescent="0.2">
      <c r="C1518" s="9"/>
      <c r="I1518" s="11"/>
      <c r="J1518" s="9"/>
      <c r="K1518" s="9"/>
    </row>
    <row r="1519" spans="3:11" x14ac:dyDescent="0.2">
      <c r="C1519" s="9"/>
      <c r="I1519" s="11"/>
      <c r="J1519" s="9"/>
      <c r="K1519" s="9"/>
    </row>
    <row r="1520" spans="3:11" x14ac:dyDescent="0.2">
      <c r="C1520" s="9"/>
      <c r="I1520" s="11"/>
      <c r="J1520" s="9"/>
      <c r="K1520" s="9"/>
    </row>
    <row r="1521" spans="3:11" x14ac:dyDescent="0.2">
      <c r="C1521" s="9"/>
      <c r="I1521" s="11"/>
      <c r="J1521" s="9"/>
      <c r="K1521" s="9"/>
    </row>
    <row r="1522" spans="3:11" x14ac:dyDescent="0.2">
      <c r="C1522" s="9"/>
      <c r="I1522" s="11"/>
      <c r="J1522" s="9"/>
      <c r="K1522" s="9"/>
    </row>
    <row r="1523" spans="3:11" x14ac:dyDescent="0.2">
      <c r="C1523" s="9"/>
      <c r="I1523" s="11"/>
      <c r="J1523" s="9"/>
      <c r="K1523" s="9"/>
    </row>
    <row r="1524" spans="3:11" x14ac:dyDescent="0.2">
      <c r="C1524" s="9"/>
      <c r="I1524" s="11"/>
      <c r="J1524" s="9"/>
      <c r="K1524" s="9"/>
    </row>
    <row r="1525" spans="3:11" x14ac:dyDescent="0.2">
      <c r="C1525" s="9"/>
      <c r="I1525" s="11"/>
      <c r="J1525" s="9"/>
      <c r="K1525" s="9"/>
    </row>
    <row r="1526" spans="3:11" x14ac:dyDescent="0.2">
      <c r="C1526" s="9"/>
      <c r="I1526" s="11"/>
      <c r="J1526" s="9"/>
      <c r="K1526" s="9"/>
    </row>
    <row r="1527" spans="3:11" x14ac:dyDescent="0.2">
      <c r="C1527" s="9"/>
      <c r="I1527" s="11"/>
      <c r="J1527" s="9"/>
      <c r="K1527" s="9"/>
    </row>
    <row r="1528" spans="3:11" x14ac:dyDescent="0.2">
      <c r="C1528" s="9"/>
      <c r="I1528" s="11"/>
      <c r="J1528" s="9"/>
      <c r="K1528" s="9"/>
    </row>
    <row r="1529" spans="3:11" x14ac:dyDescent="0.2">
      <c r="C1529" s="9"/>
      <c r="I1529" s="11"/>
      <c r="J1529" s="9"/>
      <c r="K1529" s="9"/>
    </row>
    <row r="1530" spans="3:11" x14ac:dyDescent="0.2">
      <c r="C1530" s="9"/>
      <c r="I1530" s="11"/>
      <c r="J1530" s="9"/>
      <c r="K1530" s="9"/>
    </row>
    <row r="1531" spans="3:11" x14ac:dyDescent="0.2">
      <c r="C1531" s="9"/>
      <c r="I1531" s="11"/>
      <c r="J1531" s="9"/>
      <c r="K1531" s="9"/>
    </row>
    <row r="1532" spans="3:11" x14ac:dyDescent="0.2">
      <c r="C1532" s="9"/>
      <c r="I1532" s="11"/>
      <c r="J1532" s="9"/>
      <c r="K1532" s="9"/>
    </row>
    <row r="1533" spans="3:11" x14ac:dyDescent="0.2">
      <c r="C1533" s="9"/>
      <c r="I1533" s="11"/>
      <c r="J1533" s="9"/>
      <c r="K1533" s="9"/>
    </row>
    <row r="1534" spans="3:11" x14ac:dyDescent="0.2">
      <c r="C1534" s="9"/>
      <c r="I1534" s="11"/>
      <c r="J1534" s="9"/>
      <c r="K1534" s="9"/>
    </row>
    <row r="1535" spans="3:11" x14ac:dyDescent="0.2">
      <c r="C1535" s="9"/>
      <c r="I1535" s="11"/>
      <c r="J1535" s="9"/>
      <c r="K1535" s="9"/>
    </row>
    <row r="1536" spans="3:11" x14ac:dyDescent="0.2">
      <c r="C1536" s="9"/>
      <c r="I1536" s="11"/>
      <c r="J1536" s="9"/>
      <c r="K1536" s="9"/>
    </row>
    <row r="1537" spans="3:11" x14ac:dyDescent="0.2">
      <c r="C1537" s="9"/>
      <c r="I1537" s="11"/>
      <c r="J1537" s="9"/>
      <c r="K1537" s="9"/>
    </row>
    <row r="1538" spans="3:11" x14ac:dyDescent="0.2">
      <c r="C1538" s="9"/>
      <c r="I1538" s="11"/>
      <c r="J1538" s="9"/>
      <c r="K1538" s="9"/>
    </row>
    <row r="1539" spans="3:11" x14ac:dyDescent="0.2">
      <c r="C1539" s="9"/>
      <c r="I1539" s="11"/>
      <c r="J1539" s="9"/>
      <c r="K1539" s="9"/>
    </row>
    <row r="1540" spans="3:11" x14ac:dyDescent="0.2">
      <c r="C1540" s="9"/>
      <c r="I1540" s="11"/>
      <c r="J1540" s="9"/>
      <c r="K1540" s="9"/>
    </row>
    <row r="1541" spans="3:11" x14ac:dyDescent="0.2">
      <c r="C1541" s="9"/>
      <c r="I1541" s="11"/>
      <c r="J1541" s="9"/>
      <c r="K1541" s="9"/>
    </row>
    <row r="1542" spans="3:11" x14ac:dyDescent="0.2">
      <c r="C1542" s="9"/>
      <c r="I1542" s="11"/>
      <c r="J1542" s="9"/>
      <c r="K1542" s="9"/>
    </row>
    <row r="1543" spans="3:11" x14ac:dyDescent="0.2">
      <c r="C1543" s="9"/>
      <c r="I1543" s="11"/>
      <c r="J1543" s="9"/>
      <c r="K1543" s="9"/>
    </row>
    <row r="1544" spans="3:11" x14ac:dyDescent="0.2">
      <c r="C1544" s="9"/>
      <c r="I1544" s="11"/>
      <c r="J1544" s="9"/>
      <c r="K1544" s="9"/>
    </row>
    <row r="1545" spans="3:11" x14ac:dyDescent="0.2">
      <c r="C1545" s="9"/>
      <c r="I1545" s="11"/>
      <c r="J1545" s="9"/>
      <c r="K1545" s="9"/>
    </row>
    <row r="1546" spans="3:11" x14ac:dyDescent="0.2">
      <c r="C1546" s="9"/>
      <c r="I1546" s="11"/>
      <c r="J1546" s="9"/>
      <c r="K1546" s="9"/>
    </row>
    <row r="1547" spans="3:11" x14ac:dyDescent="0.2">
      <c r="C1547" s="9"/>
      <c r="I1547" s="11"/>
      <c r="J1547" s="9"/>
      <c r="K1547" s="9"/>
    </row>
    <row r="1548" spans="3:11" x14ac:dyDescent="0.2">
      <c r="C1548" s="9"/>
      <c r="I1548" s="11"/>
      <c r="J1548" s="9"/>
      <c r="K1548" s="9"/>
    </row>
    <row r="1549" spans="3:11" x14ac:dyDescent="0.2">
      <c r="C1549" s="9"/>
      <c r="I1549" s="11"/>
      <c r="J1549" s="9"/>
      <c r="K1549" s="9"/>
    </row>
    <row r="1550" spans="3:11" x14ac:dyDescent="0.2">
      <c r="C1550" s="9"/>
      <c r="I1550" s="11"/>
      <c r="J1550" s="9"/>
      <c r="K1550" s="9"/>
    </row>
    <row r="1551" spans="3:11" x14ac:dyDescent="0.2">
      <c r="C1551" s="9"/>
      <c r="I1551" s="11"/>
      <c r="J1551" s="9"/>
      <c r="K1551" s="9"/>
    </row>
    <row r="1552" spans="3:11" x14ac:dyDescent="0.2">
      <c r="C1552" s="9"/>
      <c r="I1552" s="11"/>
      <c r="J1552" s="9"/>
      <c r="K1552" s="9"/>
    </row>
    <row r="1553" spans="3:11" x14ac:dyDescent="0.2">
      <c r="C1553" s="9"/>
      <c r="I1553" s="11"/>
      <c r="J1553" s="9"/>
      <c r="K1553" s="9"/>
    </row>
    <row r="1554" spans="3:11" x14ac:dyDescent="0.2">
      <c r="C1554" s="9"/>
      <c r="I1554" s="11"/>
      <c r="J1554" s="9"/>
      <c r="K1554" s="9"/>
    </row>
    <row r="1555" spans="3:11" x14ac:dyDescent="0.2">
      <c r="C1555" s="9"/>
      <c r="I1555" s="11"/>
      <c r="J1555" s="9"/>
      <c r="K1555" s="9"/>
    </row>
    <row r="1556" spans="3:11" x14ac:dyDescent="0.2">
      <c r="C1556" s="9"/>
      <c r="I1556" s="11"/>
      <c r="J1556" s="9"/>
      <c r="K1556" s="9"/>
    </row>
    <row r="1557" spans="3:11" x14ac:dyDescent="0.2">
      <c r="C1557" s="9"/>
      <c r="I1557" s="11"/>
      <c r="J1557" s="9"/>
      <c r="K1557" s="9"/>
    </row>
    <row r="1558" spans="3:11" x14ac:dyDescent="0.2">
      <c r="C1558" s="9"/>
      <c r="I1558" s="11"/>
      <c r="J1558" s="9"/>
      <c r="K1558" s="9"/>
    </row>
    <row r="1559" spans="3:11" x14ac:dyDescent="0.2">
      <c r="C1559" s="9"/>
      <c r="I1559" s="11"/>
      <c r="J1559" s="9"/>
      <c r="K1559" s="9"/>
    </row>
    <row r="1560" spans="3:11" x14ac:dyDescent="0.2">
      <c r="C1560" s="9"/>
      <c r="I1560" s="11"/>
      <c r="J1560" s="9"/>
      <c r="K1560" s="9"/>
    </row>
    <row r="1561" spans="3:11" x14ac:dyDescent="0.2">
      <c r="C1561" s="9"/>
      <c r="I1561" s="11"/>
      <c r="J1561" s="9"/>
      <c r="K1561" s="9"/>
    </row>
    <row r="1562" spans="3:11" x14ac:dyDescent="0.2">
      <c r="C1562" s="9"/>
      <c r="I1562" s="11"/>
      <c r="J1562" s="9"/>
      <c r="K1562" s="9"/>
    </row>
    <row r="1563" spans="3:11" x14ac:dyDescent="0.2">
      <c r="C1563" s="9"/>
      <c r="I1563" s="11"/>
      <c r="J1563" s="9"/>
      <c r="K1563" s="9"/>
    </row>
    <row r="1564" spans="3:11" x14ac:dyDescent="0.2">
      <c r="C1564" s="9"/>
      <c r="I1564" s="11"/>
      <c r="J1564" s="9"/>
      <c r="K1564" s="9"/>
    </row>
    <row r="1565" spans="3:11" x14ac:dyDescent="0.2">
      <c r="C1565" s="9"/>
      <c r="I1565" s="11"/>
      <c r="J1565" s="9"/>
      <c r="K1565" s="9"/>
    </row>
    <row r="1566" spans="3:11" x14ac:dyDescent="0.2">
      <c r="C1566" s="9"/>
      <c r="I1566" s="11"/>
      <c r="J1566" s="9"/>
      <c r="K1566" s="9"/>
    </row>
    <row r="1567" spans="3:11" x14ac:dyDescent="0.2">
      <c r="C1567" s="9"/>
      <c r="I1567" s="11"/>
      <c r="J1567" s="9"/>
      <c r="K1567" s="9"/>
    </row>
    <row r="1568" spans="3:11" x14ac:dyDescent="0.2">
      <c r="C1568" s="9"/>
      <c r="I1568" s="11"/>
      <c r="J1568" s="9"/>
      <c r="K1568" s="9"/>
    </row>
    <row r="1569" spans="3:11" x14ac:dyDescent="0.2">
      <c r="C1569" s="9"/>
      <c r="I1569" s="11"/>
      <c r="J1569" s="9"/>
      <c r="K1569" s="9"/>
    </row>
    <row r="1570" spans="3:11" x14ac:dyDescent="0.2">
      <c r="C1570" s="9"/>
      <c r="I1570" s="11"/>
      <c r="J1570" s="9"/>
      <c r="K1570" s="9"/>
    </row>
    <row r="1571" spans="3:11" x14ac:dyDescent="0.2">
      <c r="C1571" s="9"/>
      <c r="I1571" s="11"/>
      <c r="J1571" s="9"/>
      <c r="K1571" s="9"/>
    </row>
    <row r="1572" spans="3:11" x14ac:dyDescent="0.2">
      <c r="C1572" s="9"/>
      <c r="I1572" s="11"/>
      <c r="J1572" s="9"/>
      <c r="K1572" s="9"/>
    </row>
    <row r="1573" spans="3:11" x14ac:dyDescent="0.2">
      <c r="C1573" s="9"/>
      <c r="I1573" s="11"/>
      <c r="J1573" s="9"/>
      <c r="K1573" s="9"/>
    </row>
    <row r="1574" spans="3:11" x14ac:dyDescent="0.2">
      <c r="C1574" s="9"/>
      <c r="I1574" s="11"/>
      <c r="J1574" s="9"/>
      <c r="K1574" s="9"/>
    </row>
    <row r="1575" spans="3:11" x14ac:dyDescent="0.2">
      <c r="C1575" s="9"/>
      <c r="I1575" s="11"/>
      <c r="J1575" s="9"/>
      <c r="K1575" s="9"/>
    </row>
    <row r="1576" spans="3:11" x14ac:dyDescent="0.2">
      <c r="C1576" s="9"/>
      <c r="I1576" s="11"/>
      <c r="J1576" s="9"/>
      <c r="K1576" s="9"/>
    </row>
    <row r="1577" spans="3:11" x14ac:dyDescent="0.2">
      <c r="C1577" s="9"/>
      <c r="I1577" s="11"/>
      <c r="J1577" s="9"/>
      <c r="K1577" s="9"/>
    </row>
    <row r="1578" spans="3:11" x14ac:dyDescent="0.2">
      <c r="C1578" s="9"/>
      <c r="I1578" s="11"/>
      <c r="J1578" s="9"/>
      <c r="K1578" s="9"/>
    </row>
    <row r="1579" spans="3:11" x14ac:dyDescent="0.2">
      <c r="C1579" s="9"/>
      <c r="I1579" s="11"/>
      <c r="J1579" s="9"/>
      <c r="K1579" s="9"/>
    </row>
    <row r="1580" spans="3:11" x14ac:dyDescent="0.2">
      <c r="C1580" s="9"/>
      <c r="I1580" s="11"/>
      <c r="J1580" s="9"/>
      <c r="K1580" s="9"/>
    </row>
    <row r="1581" spans="3:11" x14ac:dyDescent="0.2">
      <c r="C1581" s="9"/>
      <c r="I1581" s="11"/>
      <c r="J1581" s="9"/>
      <c r="K1581" s="9"/>
    </row>
    <row r="1582" spans="3:11" x14ac:dyDescent="0.2">
      <c r="C1582" s="9"/>
      <c r="I1582" s="11"/>
      <c r="J1582" s="9"/>
      <c r="K1582" s="9"/>
    </row>
    <row r="1583" spans="3:11" x14ac:dyDescent="0.2">
      <c r="C1583" s="9"/>
      <c r="I1583" s="11"/>
      <c r="J1583" s="9"/>
      <c r="K1583" s="9"/>
    </row>
    <row r="1584" spans="3:11" x14ac:dyDescent="0.2">
      <c r="C1584" s="9"/>
      <c r="I1584" s="11"/>
      <c r="J1584" s="9"/>
      <c r="K1584" s="9"/>
    </row>
    <row r="1585" spans="3:11" x14ac:dyDescent="0.2">
      <c r="C1585" s="9"/>
      <c r="I1585" s="11"/>
      <c r="J1585" s="9"/>
      <c r="K1585" s="9"/>
    </row>
    <row r="1586" spans="3:11" x14ac:dyDescent="0.2">
      <c r="C1586" s="9"/>
      <c r="I1586" s="11"/>
      <c r="J1586" s="9"/>
      <c r="K1586" s="9"/>
    </row>
    <row r="1587" spans="3:11" x14ac:dyDescent="0.2">
      <c r="C1587" s="9"/>
      <c r="I1587" s="11"/>
      <c r="J1587" s="9"/>
      <c r="K1587" s="9"/>
    </row>
    <row r="1588" spans="3:11" x14ac:dyDescent="0.2">
      <c r="C1588" s="9"/>
      <c r="I1588" s="11"/>
      <c r="J1588" s="9"/>
      <c r="K1588" s="9"/>
    </row>
    <row r="1589" spans="3:11" x14ac:dyDescent="0.2">
      <c r="C1589" s="9"/>
      <c r="I1589" s="11"/>
      <c r="J1589" s="9"/>
      <c r="K1589" s="9"/>
    </row>
    <row r="1590" spans="3:11" x14ac:dyDescent="0.2">
      <c r="C1590" s="9"/>
      <c r="I1590" s="11"/>
      <c r="J1590" s="9"/>
      <c r="K1590" s="9"/>
    </row>
    <row r="1591" spans="3:11" x14ac:dyDescent="0.2">
      <c r="C1591" s="9"/>
      <c r="I1591" s="11"/>
      <c r="J1591" s="9"/>
      <c r="K1591" s="9"/>
    </row>
    <row r="1592" spans="3:11" x14ac:dyDescent="0.2">
      <c r="C1592" s="9"/>
      <c r="I1592" s="11"/>
      <c r="J1592" s="9"/>
      <c r="K1592" s="9"/>
    </row>
    <row r="1593" spans="3:11" x14ac:dyDescent="0.2">
      <c r="C1593" s="9"/>
      <c r="I1593" s="11"/>
      <c r="J1593" s="9"/>
      <c r="K1593" s="9"/>
    </row>
    <row r="1594" spans="3:11" x14ac:dyDescent="0.2">
      <c r="C1594" s="9"/>
      <c r="I1594" s="11"/>
      <c r="J1594" s="9"/>
      <c r="K1594" s="9"/>
    </row>
    <row r="1595" spans="3:11" x14ac:dyDescent="0.2">
      <c r="C1595" s="9"/>
      <c r="I1595" s="11"/>
      <c r="J1595" s="9"/>
      <c r="K1595" s="9"/>
    </row>
    <row r="1596" spans="3:11" x14ac:dyDescent="0.2">
      <c r="C1596" s="9"/>
      <c r="I1596" s="11"/>
      <c r="J1596" s="9"/>
      <c r="K1596" s="9"/>
    </row>
    <row r="1597" spans="3:11" x14ac:dyDescent="0.2">
      <c r="C1597" s="9"/>
      <c r="I1597" s="11"/>
      <c r="J1597" s="9"/>
      <c r="K1597" s="9"/>
    </row>
    <row r="1598" spans="3:11" x14ac:dyDescent="0.2">
      <c r="C1598" s="9"/>
      <c r="I1598" s="11"/>
      <c r="J1598" s="9"/>
      <c r="K1598" s="9"/>
    </row>
    <row r="1599" spans="3:11" x14ac:dyDescent="0.2">
      <c r="C1599" s="9"/>
      <c r="I1599" s="11"/>
      <c r="J1599" s="9"/>
      <c r="K1599" s="9"/>
    </row>
    <row r="1600" spans="3:11" x14ac:dyDescent="0.2">
      <c r="C1600" s="9"/>
      <c r="I1600" s="11"/>
      <c r="J1600" s="9"/>
      <c r="K1600" s="9"/>
    </row>
    <row r="1601" spans="3:11" x14ac:dyDescent="0.2">
      <c r="C1601" s="9"/>
      <c r="I1601" s="11"/>
      <c r="J1601" s="9"/>
      <c r="K1601" s="9"/>
    </row>
    <row r="1602" spans="3:11" x14ac:dyDescent="0.2">
      <c r="C1602" s="9"/>
      <c r="I1602" s="11"/>
      <c r="J1602" s="9"/>
      <c r="K1602" s="9"/>
    </row>
    <row r="1603" spans="3:11" x14ac:dyDescent="0.2">
      <c r="C1603" s="9"/>
      <c r="I1603" s="11"/>
      <c r="J1603" s="9"/>
      <c r="K1603" s="9"/>
    </row>
    <row r="1604" spans="3:11" x14ac:dyDescent="0.2">
      <c r="C1604" s="9"/>
      <c r="I1604" s="11"/>
      <c r="J1604" s="9"/>
      <c r="K1604" s="9"/>
    </row>
    <row r="1605" spans="3:11" x14ac:dyDescent="0.2">
      <c r="C1605" s="9"/>
      <c r="I1605" s="11"/>
      <c r="J1605" s="9"/>
      <c r="K1605" s="9"/>
    </row>
    <row r="1606" spans="3:11" x14ac:dyDescent="0.2">
      <c r="C1606" s="9"/>
      <c r="I1606" s="11"/>
      <c r="J1606" s="9"/>
      <c r="K1606" s="9"/>
    </row>
    <row r="1607" spans="3:11" x14ac:dyDescent="0.2">
      <c r="C1607" s="9"/>
      <c r="I1607" s="11"/>
      <c r="J1607" s="9"/>
      <c r="K1607" s="9"/>
    </row>
    <row r="1608" spans="3:11" x14ac:dyDescent="0.2">
      <c r="C1608" s="9"/>
      <c r="I1608" s="11"/>
      <c r="J1608" s="9"/>
      <c r="K1608" s="9"/>
    </row>
    <row r="1609" spans="3:11" x14ac:dyDescent="0.2">
      <c r="C1609" s="9"/>
      <c r="I1609" s="11"/>
      <c r="J1609" s="9"/>
      <c r="K1609" s="9"/>
    </row>
    <row r="1610" spans="3:11" x14ac:dyDescent="0.2">
      <c r="C1610" s="9"/>
      <c r="I1610" s="11"/>
      <c r="J1610" s="9"/>
      <c r="K1610" s="9"/>
    </row>
    <row r="1611" spans="3:11" x14ac:dyDescent="0.2">
      <c r="C1611" s="9"/>
      <c r="I1611" s="11"/>
      <c r="J1611" s="9"/>
      <c r="K1611" s="9"/>
    </row>
    <row r="1612" spans="3:11" x14ac:dyDescent="0.2">
      <c r="C1612" s="9"/>
      <c r="I1612" s="11"/>
      <c r="J1612" s="9"/>
      <c r="K1612" s="9"/>
    </row>
    <row r="1613" spans="3:11" x14ac:dyDescent="0.2">
      <c r="C1613" s="9"/>
      <c r="I1613" s="11"/>
      <c r="J1613" s="9"/>
      <c r="K1613" s="9"/>
    </row>
    <row r="1614" spans="3:11" x14ac:dyDescent="0.2">
      <c r="C1614" s="9"/>
      <c r="I1614" s="11"/>
      <c r="J1614" s="9"/>
      <c r="K1614" s="9"/>
    </row>
    <row r="1615" spans="3:11" x14ac:dyDescent="0.2">
      <c r="C1615" s="9"/>
      <c r="I1615" s="11"/>
      <c r="J1615" s="9"/>
      <c r="K1615" s="9"/>
    </row>
    <row r="1616" spans="3:11" x14ac:dyDescent="0.2">
      <c r="C1616" s="9"/>
      <c r="I1616" s="11"/>
      <c r="J1616" s="9"/>
      <c r="K1616" s="9"/>
    </row>
    <row r="1617" spans="3:11" x14ac:dyDescent="0.2">
      <c r="C1617" s="9"/>
      <c r="I1617" s="11"/>
      <c r="J1617" s="9"/>
      <c r="K1617" s="9"/>
    </row>
    <row r="1618" spans="3:11" x14ac:dyDescent="0.2">
      <c r="C1618" s="9"/>
      <c r="I1618" s="11"/>
      <c r="J1618" s="9"/>
      <c r="K1618" s="9"/>
    </row>
    <row r="1619" spans="3:11" x14ac:dyDescent="0.2">
      <c r="C1619" s="9"/>
      <c r="I1619" s="11"/>
      <c r="J1619" s="9"/>
      <c r="K1619" s="9"/>
    </row>
    <row r="1620" spans="3:11" x14ac:dyDescent="0.2">
      <c r="C1620" s="9"/>
      <c r="I1620" s="11"/>
      <c r="J1620" s="9"/>
      <c r="K1620" s="9"/>
    </row>
    <row r="1621" spans="3:11" x14ac:dyDescent="0.2">
      <c r="C1621" s="9"/>
      <c r="I1621" s="11"/>
      <c r="J1621" s="9"/>
      <c r="K1621" s="9"/>
    </row>
  </sheetData>
  <autoFilter ref="A1:K1621" xr:uid="{4C413AB8-9070-4A87-BC48-124B0C760496}"/>
  <pageMargins left="0.75" right="0.75" top="1" bottom="1" header="0" footer="0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Dashboard HC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Luís Veríssimo</dc:creator>
  <cp:lastModifiedBy>Luís Veríssimo</cp:lastModifiedBy>
  <dcterms:created xsi:type="dcterms:W3CDTF">2026-09-17T10:35:32Z</dcterms:created>
  <dcterms:modified xsi:type="dcterms:W3CDTF">2026-10-12T09:14:35Z</dcterms:modified>
</cp:coreProperties>
</file>